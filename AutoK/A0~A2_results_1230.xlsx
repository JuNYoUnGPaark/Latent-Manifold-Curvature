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17c7ff801bbbb06/문서/LMC/Auto_Aware/Supervison/"/>
    </mc:Choice>
  </mc:AlternateContent>
  <xr:revisionPtr revIDLastSave="1557" documentId="8_{70B05D00-C6D2-4E63-BDBD-E5D45ABB4B8A}" xr6:coauthVersionLast="47" xr6:coauthVersionMax="47" xr10:uidLastSave="{0818E442-E1CC-42E6-A2A6-79E1FCC98B11}"/>
  <bookViews>
    <workbookView xWindow="-120" yWindow="-120" windowWidth="38640" windowHeight="21120" xr2:uid="{97BF560A-1D51-4AC7-AA5D-8B62EBC0456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99" i="1" l="1"/>
  <c r="W99" i="1"/>
  <c r="AB98" i="1"/>
  <c r="V98" i="1"/>
  <c r="AB97" i="1"/>
  <c r="V97" i="1"/>
  <c r="AB96" i="1"/>
  <c r="V96" i="1"/>
  <c r="AB95" i="1"/>
  <c r="V95" i="1"/>
  <c r="AB94" i="1"/>
  <c r="V94" i="1"/>
  <c r="AB93" i="1"/>
  <c r="V93" i="1"/>
  <c r="AB92" i="1"/>
  <c r="V92" i="1"/>
  <c r="AB91" i="1"/>
  <c r="V91" i="1"/>
  <c r="AB90" i="1"/>
  <c r="V90" i="1"/>
  <c r="AB89" i="1"/>
  <c r="V89" i="1"/>
  <c r="P90" i="1"/>
  <c r="P91" i="1"/>
  <c r="P92" i="1"/>
  <c r="P93" i="1"/>
  <c r="P94" i="1"/>
  <c r="P95" i="1"/>
  <c r="P96" i="1"/>
  <c r="P97" i="1"/>
  <c r="P98" i="1"/>
  <c r="P89" i="1"/>
  <c r="J90" i="1"/>
  <c r="J91" i="1"/>
  <c r="J92" i="1"/>
  <c r="J93" i="1"/>
  <c r="J94" i="1"/>
  <c r="J95" i="1"/>
  <c r="J96" i="1"/>
  <c r="J97" i="1"/>
  <c r="J98" i="1"/>
  <c r="J89" i="1"/>
  <c r="P76" i="1"/>
  <c r="P77" i="1"/>
  <c r="P78" i="1"/>
  <c r="P79" i="1"/>
  <c r="P80" i="1"/>
  <c r="P81" i="1"/>
  <c r="P82" i="1"/>
  <c r="P83" i="1"/>
  <c r="P84" i="1"/>
  <c r="P75" i="1"/>
  <c r="J84" i="1"/>
  <c r="J76" i="1"/>
  <c r="J77" i="1"/>
  <c r="J78" i="1"/>
  <c r="J79" i="1"/>
  <c r="J80" i="1"/>
  <c r="J81" i="1"/>
  <c r="J82" i="1"/>
  <c r="J83" i="1"/>
  <c r="J75" i="1"/>
  <c r="P62" i="1"/>
  <c r="P63" i="1"/>
  <c r="P64" i="1"/>
  <c r="P65" i="1"/>
  <c r="P66" i="1"/>
  <c r="P67" i="1"/>
  <c r="P68" i="1"/>
  <c r="P69" i="1"/>
  <c r="P70" i="1"/>
  <c r="P61" i="1"/>
  <c r="J62" i="1"/>
  <c r="J63" i="1"/>
  <c r="J64" i="1"/>
  <c r="J65" i="1"/>
  <c r="J66" i="1"/>
  <c r="J67" i="1"/>
  <c r="J68" i="1"/>
  <c r="J69" i="1"/>
  <c r="J70" i="1"/>
  <c r="J61" i="1"/>
  <c r="P48" i="1"/>
  <c r="P49" i="1"/>
  <c r="P50" i="1"/>
  <c r="P51" i="1"/>
  <c r="P52" i="1"/>
  <c r="P53" i="1"/>
  <c r="P54" i="1"/>
  <c r="P55" i="1"/>
  <c r="P56" i="1"/>
  <c r="P47" i="1"/>
  <c r="J48" i="1"/>
  <c r="J49" i="1"/>
  <c r="J50" i="1"/>
  <c r="J51" i="1"/>
  <c r="J52" i="1"/>
  <c r="J53" i="1"/>
  <c r="J54" i="1"/>
  <c r="J55" i="1"/>
  <c r="J56" i="1"/>
  <c r="J47" i="1"/>
  <c r="P34" i="1"/>
  <c r="P35" i="1"/>
  <c r="P36" i="1"/>
  <c r="P37" i="1"/>
  <c r="P38" i="1"/>
  <c r="P39" i="1"/>
  <c r="P40" i="1"/>
  <c r="P41" i="1"/>
  <c r="P42" i="1"/>
  <c r="P33" i="1"/>
  <c r="J34" i="1"/>
  <c r="J35" i="1"/>
  <c r="J36" i="1"/>
  <c r="J37" i="1"/>
  <c r="J38" i="1"/>
  <c r="J39" i="1"/>
  <c r="J40" i="1"/>
  <c r="J41" i="1"/>
  <c r="J42" i="1"/>
  <c r="J33" i="1"/>
  <c r="P20" i="1"/>
  <c r="P21" i="1"/>
  <c r="P22" i="1"/>
  <c r="P23" i="1"/>
  <c r="P24" i="1"/>
  <c r="P25" i="1"/>
  <c r="P26" i="1"/>
  <c r="P27" i="1"/>
  <c r="P28" i="1"/>
  <c r="P19" i="1"/>
  <c r="J20" i="1"/>
  <c r="J21" i="1"/>
  <c r="J22" i="1"/>
  <c r="J23" i="1"/>
  <c r="J24" i="1"/>
  <c r="J25" i="1"/>
  <c r="J26" i="1"/>
  <c r="J27" i="1"/>
  <c r="J28" i="1"/>
  <c r="J19" i="1"/>
  <c r="P6" i="1"/>
  <c r="P7" i="1"/>
  <c r="P8" i="1"/>
  <c r="P9" i="1"/>
  <c r="P10" i="1"/>
  <c r="P11" i="1"/>
  <c r="P12" i="1"/>
  <c r="P13" i="1"/>
  <c r="P14" i="1"/>
  <c r="P5" i="1"/>
  <c r="J7" i="1"/>
  <c r="J6" i="1"/>
  <c r="J5" i="1"/>
  <c r="J8" i="1"/>
  <c r="J9" i="1"/>
  <c r="J10" i="1"/>
  <c r="J11" i="1"/>
  <c r="J12" i="1"/>
  <c r="J13" i="1"/>
  <c r="J14" i="1"/>
  <c r="E99" i="1"/>
  <c r="D98" i="1"/>
  <c r="D97" i="1"/>
  <c r="D96" i="1"/>
  <c r="D95" i="1"/>
  <c r="D94" i="1"/>
  <c r="D93" i="1"/>
  <c r="D92" i="1"/>
  <c r="D91" i="1"/>
  <c r="D90" i="1"/>
  <c r="D89" i="1"/>
  <c r="Q99" i="1"/>
  <c r="K99" i="1"/>
  <c r="D76" i="1"/>
  <c r="D77" i="1"/>
  <c r="D78" i="1"/>
  <c r="D79" i="1"/>
  <c r="D80" i="1"/>
  <c r="D81" i="1"/>
  <c r="D82" i="1"/>
  <c r="D83" i="1"/>
  <c r="D84" i="1"/>
  <c r="D75" i="1"/>
  <c r="E85" i="1"/>
  <c r="AB84" i="1"/>
  <c r="AB83" i="1"/>
  <c r="AB82" i="1"/>
  <c r="AB81" i="1"/>
  <c r="AB80" i="1"/>
  <c r="AB79" i="1"/>
  <c r="AB78" i="1"/>
  <c r="AB77" i="1"/>
  <c r="AB76" i="1"/>
  <c r="AB75" i="1"/>
  <c r="AB70" i="1"/>
  <c r="AB69" i="1"/>
  <c r="AB68" i="1"/>
  <c r="AB67" i="1"/>
  <c r="AB66" i="1"/>
  <c r="AB65" i="1"/>
  <c r="AB64" i="1"/>
  <c r="AB63" i="1"/>
  <c r="AB62" i="1"/>
  <c r="AB61" i="1"/>
  <c r="AB56" i="1"/>
  <c r="AB55" i="1"/>
  <c r="AB54" i="1"/>
  <c r="AB53" i="1"/>
  <c r="AB52" i="1"/>
  <c r="AB51" i="1"/>
  <c r="AB50" i="1"/>
  <c r="AB49" i="1"/>
  <c r="AB48" i="1"/>
  <c r="AB47" i="1"/>
  <c r="AB42" i="1"/>
  <c r="AB41" i="1"/>
  <c r="AB40" i="1"/>
  <c r="AB39" i="1"/>
  <c r="AB38" i="1"/>
  <c r="AB37" i="1"/>
  <c r="AB36" i="1"/>
  <c r="AB35" i="1"/>
  <c r="AB34" i="1"/>
  <c r="AB33" i="1"/>
  <c r="AB28" i="1"/>
  <c r="AB27" i="1"/>
  <c r="AB26" i="1"/>
  <c r="AB25" i="1"/>
  <c r="AB24" i="1"/>
  <c r="AB23" i="1"/>
  <c r="AB22" i="1"/>
  <c r="AB21" i="1"/>
  <c r="AB20" i="1"/>
  <c r="AB19" i="1"/>
  <c r="AB14" i="1"/>
  <c r="AB13" i="1"/>
  <c r="AB12" i="1"/>
  <c r="AB11" i="1"/>
  <c r="AB10" i="1"/>
  <c r="AB9" i="1"/>
  <c r="AB8" i="1"/>
  <c r="AB7" i="1"/>
  <c r="AB6" i="1"/>
  <c r="AB5" i="1"/>
  <c r="V84" i="1"/>
  <c r="V83" i="1"/>
  <c r="V82" i="1"/>
  <c r="V81" i="1"/>
  <c r="V80" i="1"/>
  <c r="V79" i="1"/>
  <c r="V78" i="1"/>
  <c r="V77" i="1"/>
  <c r="V76" i="1"/>
  <c r="V75" i="1"/>
  <c r="V70" i="1"/>
  <c r="V69" i="1"/>
  <c r="V68" i="1"/>
  <c r="V67" i="1"/>
  <c r="V66" i="1"/>
  <c r="V65" i="1"/>
  <c r="V64" i="1"/>
  <c r="V63" i="1"/>
  <c r="V62" i="1"/>
  <c r="V61" i="1"/>
  <c r="V56" i="1"/>
  <c r="V55" i="1"/>
  <c r="V54" i="1"/>
  <c r="V53" i="1"/>
  <c r="V52" i="1"/>
  <c r="V51" i="1"/>
  <c r="V50" i="1"/>
  <c r="V49" i="1"/>
  <c r="V48" i="1"/>
  <c r="V47" i="1"/>
  <c r="V42" i="1"/>
  <c r="V41" i="1"/>
  <c r="V40" i="1"/>
  <c r="V39" i="1"/>
  <c r="V38" i="1"/>
  <c r="V37" i="1"/>
  <c r="V36" i="1"/>
  <c r="V35" i="1"/>
  <c r="V34" i="1"/>
  <c r="V33" i="1"/>
  <c r="V28" i="1"/>
  <c r="V27" i="1"/>
  <c r="V26" i="1"/>
  <c r="V25" i="1"/>
  <c r="V24" i="1"/>
  <c r="V23" i="1"/>
  <c r="V22" i="1"/>
  <c r="V21" i="1"/>
  <c r="V20" i="1"/>
  <c r="V19" i="1"/>
  <c r="V14" i="1"/>
  <c r="V13" i="1"/>
  <c r="V12" i="1"/>
  <c r="V11" i="1"/>
  <c r="V10" i="1"/>
  <c r="V9" i="1"/>
  <c r="V8" i="1"/>
  <c r="V7" i="1"/>
  <c r="V6" i="1"/>
  <c r="V5" i="1"/>
  <c r="D70" i="1"/>
  <c r="D69" i="1"/>
  <c r="D68" i="1"/>
  <c r="D67" i="1"/>
  <c r="D66" i="1"/>
  <c r="D65" i="1"/>
  <c r="D64" i="1"/>
  <c r="D63" i="1"/>
  <c r="D62" i="1"/>
  <c r="D61" i="1"/>
  <c r="D56" i="1"/>
  <c r="D55" i="1"/>
  <c r="D54" i="1"/>
  <c r="D53" i="1"/>
  <c r="D52" i="1"/>
  <c r="D51" i="1"/>
  <c r="D50" i="1"/>
  <c r="D49" i="1"/>
  <c r="D48" i="1"/>
  <c r="D47" i="1"/>
  <c r="D42" i="1"/>
  <c r="D41" i="1"/>
  <c r="D40" i="1"/>
  <c r="D39" i="1"/>
  <c r="D38" i="1"/>
  <c r="D37" i="1"/>
  <c r="D36" i="1"/>
  <c r="D35" i="1"/>
  <c r="D34" i="1"/>
  <c r="D33" i="1"/>
  <c r="D28" i="1"/>
  <c r="D27" i="1"/>
  <c r="D26" i="1"/>
  <c r="D25" i="1"/>
  <c r="D24" i="1"/>
  <c r="D23" i="1"/>
  <c r="D22" i="1"/>
  <c r="D21" i="1"/>
  <c r="D20" i="1"/>
  <c r="D19" i="1"/>
  <c r="D6" i="1"/>
  <c r="D7" i="1"/>
  <c r="D8" i="1"/>
  <c r="D9" i="1"/>
  <c r="D10" i="1"/>
  <c r="D11" i="1"/>
  <c r="D12" i="1"/>
  <c r="D13" i="1"/>
  <c r="D14" i="1"/>
  <c r="D5" i="1"/>
  <c r="AB99" i="1" l="1"/>
  <c r="V99" i="1"/>
  <c r="D99" i="1"/>
  <c r="V71" i="1"/>
  <c r="AB71" i="1"/>
  <c r="P99" i="1"/>
  <c r="V57" i="1"/>
  <c r="AB57" i="1"/>
  <c r="J99" i="1"/>
  <c r="V43" i="1"/>
  <c r="AB43" i="1"/>
  <c r="V29" i="1"/>
  <c r="AB29" i="1"/>
  <c r="D85" i="1"/>
  <c r="V15" i="1"/>
  <c r="AB15" i="1"/>
  <c r="J29" i="1"/>
  <c r="P15" i="1"/>
  <c r="V85" i="1"/>
  <c r="AB85" i="1"/>
  <c r="P85" i="1"/>
  <c r="P71" i="1"/>
  <c r="J15" i="1"/>
  <c r="P57" i="1"/>
  <c r="P43" i="1"/>
  <c r="P29" i="1"/>
  <c r="J85" i="1"/>
  <c r="J71" i="1"/>
  <c r="J57" i="1"/>
  <c r="D71" i="1"/>
  <c r="D15" i="1"/>
  <c r="J43" i="1"/>
  <c r="D57" i="1"/>
  <c r="D29" i="1"/>
  <c r="D43" i="1"/>
  <c r="AC85" i="1"/>
  <c r="W85" i="1"/>
  <c r="AC71" i="1"/>
  <c r="W71" i="1"/>
  <c r="AC57" i="1"/>
  <c r="W57" i="1"/>
  <c r="AC43" i="1"/>
  <c r="W43" i="1"/>
  <c r="AC29" i="1"/>
  <c r="W29" i="1"/>
  <c r="AC15" i="1"/>
  <c r="W15" i="1"/>
  <c r="Q85" i="1"/>
  <c r="K85" i="1"/>
  <c r="Q71" i="1"/>
  <c r="K71" i="1"/>
  <c r="Q57" i="1"/>
  <c r="K57" i="1"/>
  <c r="Q43" i="1"/>
  <c r="K43" i="1"/>
  <c r="Q29" i="1"/>
  <c r="K29" i="1"/>
  <c r="Q15" i="1"/>
  <c r="K15" i="1"/>
  <c r="E71" i="1"/>
  <c r="E57" i="1"/>
  <c r="E43" i="1"/>
  <c r="E29" i="1"/>
  <c r="E15" i="1"/>
</calcChain>
</file>

<file path=xl/sharedStrings.xml><?xml version="1.0" encoding="utf-8"?>
<sst xmlns="http://schemas.openxmlformats.org/spreadsheetml/2006/main" count="213" uniqueCount="29">
  <si>
    <t>Subject_ID</t>
    <phoneticPr fontId="1" type="noConversion"/>
  </si>
  <si>
    <t>Pred</t>
    <phoneticPr fontId="1" type="noConversion"/>
  </si>
  <si>
    <t>GT</t>
    <phoneticPr fontId="1" type="noConversion"/>
  </si>
  <si>
    <t>k_hat</t>
    <phoneticPr fontId="1" type="noConversion"/>
  </si>
  <si>
    <t>Walking</t>
    <phoneticPr fontId="1" type="noConversion"/>
  </si>
  <si>
    <t>Frontal elevation of arms</t>
    <phoneticPr fontId="1" type="noConversion"/>
  </si>
  <si>
    <t>Knees bending</t>
    <phoneticPr fontId="1" type="noConversion"/>
  </si>
  <si>
    <t>Waist bends forward</t>
    <phoneticPr fontId="1" type="noConversion"/>
  </si>
  <si>
    <t>Jump front and back</t>
    <phoneticPr fontId="1" type="noConversion"/>
  </si>
  <si>
    <t>Running</t>
    <phoneticPr fontId="1" type="noConversion"/>
  </si>
  <si>
    <t>Waist bends forward -&gt; Frontal elevation of arms</t>
    <phoneticPr fontId="1" type="noConversion"/>
  </si>
  <si>
    <t>Frontal elevation of arms -&gt; Waist bends forward</t>
    <phoneticPr fontId="1" type="noConversion"/>
  </si>
  <si>
    <t>Waist bends forward -&gt; Knees bending</t>
    <phoneticPr fontId="1" type="noConversion"/>
  </si>
  <si>
    <t>Knees bending -&gt; Waist bends forward</t>
    <phoneticPr fontId="1" type="noConversion"/>
  </si>
  <si>
    <t>Frontal elevation of arms -&gt; Knees bending</t>
    <phoneticPr fontId="1" type="noConversion"/>
  </si>
  <si>
    <t>Knees bending -&gt; Frontal elevation of arms</t>
    <phoneticPr fontId="1" type="noConversion"/>
  </si>
  <si>
    <t>Knees bending -&gt; Jump front and back</t>
    <phoneticPr fontId="1" type="noConversion"/>
  </si>
  <si>
    <t>Jump front and back -&gt; Knees bending</t>
    <phoneticPr fontId="1" type="noConversion"/>
  </si>
  <si>
    <t>Waist bends forward -&gt; Jump front and back</t>
    <phoneticPr fontId="1" type="noConversion"/>
  </si>
  <si>
    <t>Jump front and back -&gt; Waist bends forward</t>
    <phoneticPr fontId="1" type="noConversion"/>
  </si>
  <si>
    <t>Frontal elevation of arms -&gt; Jump front and back</t>
    <phoneticPr fontId="1" type="noConversion"/>
  </si>
  <si>
    <t>Jump front and back -&gt; Frontal elevation of arms</t>
    <phoneticPr fontId="1" type="noConversion"/>
  </si>
  <si>
    <t>Acc</t>
    <phoneticPr fontId="1" type="noConversion"/>
  </si>
  <si>
    <t>Jogging</t>
    <phoneticPr fontId="1" type="noConversion"/>
  </si>
  <si>
    <t>Jogging -&gt; Running</t>
    <phoneticPr fontId="1" type="noConversion"/>
  </si>
  <si>
    <t>Running -&gt; Jogging</t>
    <phoneticPr fontId="1" type="noConversion"/>
  </si>
  <si>
    <t>1) Same Activity, Unseen Subject</t>
    <phoneticPr fontId="1" type="noConversion"/>
  </si>
  <si>
    <t>2) Unseen Activity &amp; Seen Subject</t>
    <phoneticPr fontId="1" type="noConversion"/>
  </si>
  <si>
    <t>3) Unseen Activity &amp; Unseen Subject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</si>
</sst>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0.000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Noto Serif KR"/>
      <family val="1"/>
      <charset val="129"/>
    </font>
    <font>
      <sz val="11"/>
      <color theme="1"/>
      <name val="Noto Serif KR"/>
      <family val="1"/>
      <charset val="129"/>
    </font>
    <font>
      <sz val="11"/>
      <color theme="1"/>
      <name val="Noto Sans KR"/>
      <family val="3"/>
      <charset val="129"/>
    </font>
    <font>
      <b/>
      <sz val="14"/>
      <color theme="1"/>
      <name val="Noto Serif KR"/>
      <family val="1"/>
      <charset val="129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9" fontId="4" fillId="0" borderId="3" xfId="0" applyNumberFormat="1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9" fontId="4" fillId="0" borderId="0" xfId="0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EB3BE-E745-4439-AD5A-959419BEB23D}">
  <dimension ref="A1:AD127"/>
  <sheetViews>
    <sheetView tabSelected="1" topLeftCell="E69" zoomScaleNormal="100" workbookViewId="0">
      <selection activeCell="T104" sqref="T104"/>
    </sheetView>
  </sheetViews>
  <sheetFormatPr defaultRowHeight="18" x14ac:dyDescent="0.3"/>
  <cols>
    <col min="1" max="3" width="12.375" style="2" customWidth="1"/>
    <col min="4" max="4" width="14.125" style="2" customWidth="1"/>
    <col min="5" max="9" width="12.375" style="2" customWidth="1"/>
    <col min="10" max="10" width="14.125" style="2" customWidth="1"/>
    <col min="11" max="11" width="12.375" style="2" customWidth="1"/>
    <col min="12" max="12" width="4" style="2" customWidth="1"/>
    <col min="13" max="15" width="12.375" style="2" customWidth="1"/>
    <col min="16" max="16" width="14.125" style="2" customWidth="1"/>
    <col min="17" max="21" width="12.375" style="2" customWidth="1"/>
    <col min="22" max="22" width="14.125" style="2" customWidth="1"/>
    <col min="23" max="23" width="12.375" style="2" customWidth="1"/>
    <col min="24" max="24" width="4" style="2" customWidth="1"/>
    <col min="25" max="27" width="12.375" style="2" customWidth="1"/>
    <col min="28" max="28" width="14.125" style="2" customWidth="1"/>
    <col min="29" max="29" width="12.375" style="2" customWidth="1"/>
  </cols>
  <sheetData>
    <row r="1" spans="1:30" x14ac:dyDescent="0.3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</row>
    <row r="2" spans="1:30" ht="34.5" customHeight="1" x14ac:dyDescent="0.3">
      <c r="A2" s="21" t="s">
        <v>26</v>
      </c>
      <c r="B2" s="21"/>
      <c r="C2" s="21"/>
      <c r="D2" s="21"/>
      <c r="E2" s="21"/>
      <c r="G2" s="21" t="s">
        <v>27</v>
      </c>
      <c r="H2" s="21"/>
      <c r="I2" s="21"/>
      <c r="J2" s="21"/>
      <c r="K2" s="21"/>
      <c r="L2" s="21"/>
      <c r="M2" s="21"/>
      <c r="N2" s="21"/>
      <c r="O2" s="21"/>
      <c r="P2" s="21"/>
      <c r="Q2" s="21"/>
      <c r="S2" s="21" t="s">
        <v>28</v>
      </c>
      <c r="T2" s="21"/>
      <c r="U2" s="21"/>
      <c r="V2" s="21"/>
      <c r="W2" s="21"/>
      <c r="X2" s="21"/>
      <c r="Y2" s="21"/>
      <c r="Z2" s="21"/>
      <c r="AA2" s="21"/>
      <c r="AB2" s="21"/>
      <c r="AC2" s="21"/>
    </row>
    <row r="3" spans="1:30" x14ac:dyDescent="0.3">
      <c r="A3" s="15" t="s">
        <v>5</v>
      </c>
      <c r="B3" s="15"/>
      <c r="C3" s="15"/>
      <c r="D3" s="15"/>
      <c r="E3" s="15"/>
      <c r="G3" s="16" t="s">
        <v>10</v>
      </c>
      <c r="H3" s="16"/>
      <c r="I3" s="16"/>
      <c r="J3" s="16"/>
      <c r="K3" s="16"/>
      <c r="M3" s="16" t="s">
        <v>11</v>
      </c>
      <c r="N3" s="16"/>
      <c r="O3" s="16"/>
      <c r="P3" s="16"/>
      <c r="Q3" s="16"/>
      <c r="S3" s="18" t="s">
        <v>10</v>
      </c>
      <c r="T3" s="18"/>
      <c r="U3" s="18"/>
      <c r="V3" s="18"/>
      <c r="W3" s="18"/>
      <c r="Y3" s="18" t="s">
        <v>11</v>
      </c>
      <c r="Z3" s="18"/>
      <c r="AA3" s="18"/>
      <c r="AB3" s="18"/>
      <c r="AC3" s="18"/>
    </row>
    <row r="4" spans="1:30" x14ac:dyDescent="0.3">
      <c r="A4" s="3" t="s">
        <v>0</v>
      </c>
      <c r="B4" s="3" t="s">
        <v>1</v>
      </c>
      <c r="C4" s="3" t="s">
        <v>2</v>
      </c>
      <c r="D4" s="3" t="s">
        <v>22</v>
      </c>
      <c r="E4" s="3" t="s">
        <v>3</v>
      </c>
      <c r="G4" s="3" t="s">
        <v>0</v>
      </c>
      <c r="H4" s="3" t="s">
        <v>1</v>
      </c>
      <c r="I4" s="3" t="s">
        <v>2</v>
      </c>
      <c r="J4" s="3" t="s">
        <v>22</v>
      </c>
      <c r="K4" s="3" t="s">
        <v>3</v>
      </c>
      <c r="M4" s="3" t="s">
        <v>0</v>
      </c>
      <c r="N4" s="3" t="s">
        <v>1</v>
      </c>
      <c r="O4" s="3" t="s">
        <v>2</v>
      </c>
      <c r="P4" s="3" t="s">
        <v>22</v>
      </c>
      <c r="Q4" s="3" t="s">
        <v>3</v>
      </c>
      <c r="S4" s="3" t="s">
        <v>0</v>
      </c>
      <c r="T4" s="3" t="s">
        <v>1</v>
      </c>
      <c r="U4" s="3" t="s">
        <v>2</v>
      </c>
      <c r="V4" s="3" t="s">
        <v>22</v>
      </c>
      <c r="W4" s="3" t="s">
        <v>3</v>
      </c>
      <c r="Y4" s="3" t="s">
        <v>0</v>
      </c>
      <c r="Z4" s="3" t="s">
        <v>1</v>
      </c>
      <c r="AA4" s="3" t="s">
        <v>2</v>
      </c>
      <c r="AB4" s="3" t="s">
        <v>22</v>
      </c>
      <c r="AC4" s="3" t="s">
        <v>3</v>
      </c>
    </row>
    <row r="5" spans="1:30" x14ac:dyDescent="0.3">
      <c r="A5" s="4">
        <v>1</v>
      </c>
      <c r="B5" s="5">
        <v>19.91</v>
      </c>
      <c r="C5" s="4">
        <v>20</v>
      </c>
      <c r="D5" s="9">
        <f>(C5-ABS(C5-B5))/C5</f>
        <v>0.99550000000000005</v>
      </c>
      <c r="E5" s="4">
        <v>1.01</v>
      </c>
      <c r="G5" s="4">
        <v>1</v>
      </c>
      <c r="H5" s="4">
        <v>28.56</v>
      </c>
      <c r="I5" s="4">
        <v>20</v>
      </c>
      <c r="J5" s="9">
        <f>(I5-ABS(I5-H5))/I5</f>
        <v>0.57200000000000006</v>
      </c>
      <c r="K5" s="4">
        <v>1.01</v>
      </c>
      <c r="M5" s="4">
        <v>1</v>
      </c>
      <c r="N5" s="6">
        <v>17.2</v>
      </c>
      <c r="O5" s="4">
        <v>21</v>
      </c>
      <c r="P5" s="9">
        <f>(O5-ABS(O5-N5))/O5</f>
        <v>0.81904761904761902</v>
      </c>
      <c r="Q5" s="6">
        <v>1</v>
      </c>
      <c r="S5" s="4">
        <v>1</v>
      </c>
      <c r="T5" s="6">
        <v>27</v>
      </c>
      <c r="U5" s="4">
        <v>20</v>
      </c>
      <c r="V5" s="9">
        <f>(U5-ABS(U5-T5))/U5</f>
        <v>0.65</v>
      </c>
      <c r="W5" s="4">
        <v>1.02</v>
      </c>
      <c r="Y5" s="4">
        <v>1</v>
      </c>
      <c r="Z5" s="4">
        <v>17.93</v>
      </c>
      <c r="AA5" s="4">
        <v>21</v>
      </c>
      <c r="AB5" s="9">
        <f>(AA5-ABS(AA5-Z5))/AA5</f>
        <v>0.8538095238095238</v>
      </c>
      <c r="AC5" s="4">
        <v>1.01</v>
      </c>
      <c r="AD5" s="1"/>
    </row>
    <row r="6" spans="1:30" x14ac:dyDescent="0.3">
      <c r="A6" s="4">
        <v>2</v>
      </c>
      <c r="B6" s="5">
        <v>22.63</v>
      </c>
      <c r="C6" s="4">
        <v>20</v>
      </c>
      <c r="D6" s="9">
        <f t="shared" ref="D6:D14" si="0">(C6-ABS(C6-B6))/C6</f>
        <v>0.86850000000000005</v>
      </c>
      <c r="E6" s="4">
        <v>1.01</v>
      </c>
      <c r="G6" s="4">
        <v>2</v>
      </c>
      <c r="H6" s="4">
        <v>28.16</v>
      </c>
      <c r="I6" s="4">
        <v>20</v>
      </c>
      <c r="J6" s="9">
        <f>(I6-ABS(I6-H6))/I6</f>
        <v>0.59199999999999997</v>
      </c>
      <c r="K6" s="4">
        <v>1.04</v>
      </c>
      <c r="M6" s="4">
        <v>2</v>
      </c>
      <c r="N6" s="4">
        <v>21.18</v>
      </c>
      <c r="O6" s="4">
        <v>19</v>
      </c>
      <c r="P6" s="9">
        <f t="shared" ref="P6:P14" si="1">(O6-ABS(O6-N6))/O6</f>
        <v>0.88526315789473686</v>
      </c>
      <c r="Q6" s="4">
        <v>1.02</v>
      </c>
      <c r="S6" s="4">
        <v>2</v>
      </c>
      <c r="T6" s="4">
        <v>29.74</v>
      </c>
      <c r="U6" s="4">
        <v>20</v>
      </c>
      <c r="V6" s="9">
        <f t="shared" ref="V6:V14" si="2">(U6-ABS(U6-T6))/U6</f>
        <v>0.51300000000000012</v>
      </c>
      <c r="W6" s="4">
        <v>1.06</v>
      </c>
      <c r="Y6" s="4">
        <v>2</v>
      </c>
      <c r="Z6" s="4">
        <v>22.59</v>
      </c>
      <c r="AA6" s="4">
        <v>19</v>
      </c>
      <c r="AB6" s="9">
        <f t="shared" ref="AB6:AB14" si="3">(AA6-ABS(AA6-Z6))/AA6</f>
        <v>0.81105263157894736</v>
      </c>
      <c r="AC6" s="4">
        <v>1.04</v>
      </c>
    </row>
    <row r="7" spans="1:30" x14ac:dyDescent="0.3">
      <c r="A7" s="4">
        <v>3</v>
      </c>
      <c r="B7" s="5">
        <v>24.18</v>
      </c>
      <c r="C7" s="4">
        <v>20</v>
      </c>
      <c r="D7" s="9">
        <f t="shared" si="0"/>
        <v>0.79100000000000004</v>
      </c>
      <c r="E7" s="4">
        <v>1.01</v>
      </c>
      <c r="G7" s="4">
        <v>3</v>
      </c>
      <c r="H7" s="4">
        <v>24.36</v>
      </c>
      <c r="I7" s="4">
        <v>20</v>
      </c>
      <c r="J7" s="9">
        <f>(I7-ABS(I7-H7))/I7</f>
        <v>0.78200000000000003</v>
      </c>
      <c r="K7" s="4">
        <v>1.03</v>
      </c>
      <c r="M7" s="4">
        <v>3</v>
      </c>
      <c r="N7" s="4">
        <v>22.41</v>
      </c>
      <c r="O7" s="4">
        <v>21</v>
      </c>
      <c r="P7" s="9">
        <f t="shared" si="1"/>
        <v>0.93285714285714283</v>
      </c>
      <c r="Q7" s="4">
        <v>1.01</v>
      </c>
      <c r="S7" s="4">
        <v>3</v>
      </c>
      <c r="T7" s="4">
        <v>22.93</v>
      </c>
      <c r="U7" s="4">
        <v>20</v>
      </c>
      <c r="V7" s="9">
        <f t="shared" si="2"/>
        <v>0.85350000000000004</v>
      </c>
      <c r="W7" s="4">
        <v>1.03</v>
      </c>
      <c r="Y7" s="4">
        <v>3</v>
      </c>
      <c r="Z7" s="4">
        <v>24.22</v>
      </c>
      <c r="AA7" s="4">
        <v>21</v>
      </c>
      <c r="AB7" s="9">
        <f t="shared" si="3"/>
        <v>0.84666666666666668</v>
      </c>
      <c r="AC7" s="4">
        <v>1.03</v>
      </c>
    </row>
    <row r="8" spans="1:30" x14ac:dyDescent="0.3">
      <c r="A8" s="4">
        <v>4</v>
      </c>
      <c r="B8" s="5">
        <v>21.62</v>
      </c>
      <c r="C8" s="4">
        <v>20</v>
      </c>
      <c r="D8" s="9">
        <f t="shared" si="0"/>
        <v>0.91899999999999993</v>
      </c>
      <c r="E8" s="4">
        <v>1.01</v>
      </c>
      <c r="G8" s="4">
        <v>4</v>
      </c>
      <c r="H8" s="4">
        <v>27.53</v>
      </c>
      <c r="I8" s="4">
        <v>20</v>
      </c>
      <c r="J8" s="9">
        <f t="shared" ref="J6:J14" si="4">(I8-ABS(I8-H8))/I8</f>
        <v>0.62349999999999994</v>
      </c>
      <c r="K8" s="4">
        <v>1.02</v>
      </c>
      <c r="M8" s="4">
        <v>4</v>
      </c>
      <c r="N8" s="4">
        <v>22.12</v>
      </c>
      <c r="O8" s="4">
        <v>20</v>
      </c>
      <c r="P8" s="9">
        <f t="shared" si="1"/>
        <v>0.89399999999999991</v>
      </c>
      <c r="Q8" s="4">
        <v>1.01</v>
      </c>
      <c r="S8" s="4">
        <v>4</v>
      </c>
      <c r="T8" s="4">
        <v>28.34</v>
      </c>
      <c r="U8" s="4">
        <v>20</v>
      </c>
      <c r="V8" s="9">
        <f t="shared" si="2"/>
        <v>0.58299999999999996</v>
      </c>
      <c r="W8" s="4">
        <v>1.02</v>
      </c>
      <c r="Y8" s="4">
        <v>4</v>
      </c>
      <c r="Z8" s="4">
        <v>25.33</v>
      </c>
      <c r="AA8" s="4">
        <v>20</v>
      </c>
      <c r="AB8" s="9">
        <f t="shared" si="3"/>
        <v>0.73350000000000004</v>
      </c>
      <c r="AC8" s="4">
        <v>1.02</v>
      </c>
    </row>
    <row r="9" spans="1:30" x14ac:dyDescent="0.3">
      <c r="A9" s="4">
        <v>5</v>
      </c>
      <c r="B9" s="19">
        <v>18.5</v>
      </c>
      <c r="C9" s="4">
        <v>20</v>
      </c>
      <c r="D9" s="9">
        <f t="shared" si="0"/>
        <v>0.92500000000000004</v>
      </c>
      <c r="E9" s="4">
        <v>1.01</v>
      </c>
      <c r="G9" s="4">
        <v>5</v>
      </c>
      <c r="H9" s="4">
        <v>24.78</v>
      </c>
      <c r="I9" s="4">
        <v>20</v>
      </c>
      <c r="J9" s="9">
        <f t="shared" si="4"/>
        <v>0.7609999999999999</v>
      </c>
      <c r="K9" s="4">
        <v>1.02</v>
      </c>
      <c r="M9" s="4">
        <v>5</v>
      </c>
      <c r="N9" s="4">
        <v>17.96</v>
      </c>
      <c r="O9" s="4">
        <v>20</v>
      </c>
      <c r="P9" s="9">
        <f t="shared" si="1"/>
        <v>0.89800000000000002</v>
      </c>
      <c r="Q9" s="6">
        <v>1</v>
      </c>
      <c r="S9" s="4">
        <v>5</v>
      </c>
      <c r="T9" s="4">
        <v>26.35</v>
      </c>
      <c r="U9" s="4">
        <v>20</v>
      </c>
      <c r="V9" s="9">
        <f t="shared" si="2"/>
        <v>0.68249999999999988</v>
      </c>
      <c r="W9" s="4">
        <v>1.02</v>
      </c>
      <c r="Y9" s="4">
        <v>5</v>
      </c>
      <c r="Z9" s="4">
        <v>17.55</v>
      </c>
      <c r="AA9" s="4">
        <v>20</v>
      </c>
      <c r="AB9" s="9">
        <f t="shared" si="3"/>
        <v>0.87750000000000006</v>
      </c>
      <c r="AC9" s="4">
        <v>1.01</v>
      </c>
    </row>
    <row r="10" spans="1:30" x14ac:dyDescent="0.3">
      <c r="A10" s="4">
        <v>6</v>
      </c>
      <c r="B10" s="5">
        <v>12.82</v>
      </c>
      <c r="C10" s="4">
        <v>20</v>
      </c>
      <c r="D10" s="9">
        <f t="shared" si="0"/>
        <v>0.64100000000000001</v>
      </c>
      <c r="E10" s="4">
        <v>1.01</v>
      </c>
      <c r="G10" s="4">
        <v>6</v>
      </c>
      <c r="H10" s="4">
        <v>16.36</v>
      </c>
      <c r="I10" s="4">
        <v>20</v>
      </c>
      <c r="J10" s="9">
        <f t="shared" si="4"/>
        <v>0.81799999999999995</v>
      </c>
      <c r="K10" s="4">
        <v>1.01</v>
      </c>
      <c r="M10" s="4">
        <v>6</v>
      </c>
      <c r="N10" s="4">
        <v>14.14</v>
      </c>
      <c r="O10" s="4">
        <v>20</v>
      </c>
      <c r="P10" s="9">
        <f t="shared" si="1"/>
        <v>0.70700000000000007</v>
      </c>
      <c r="Q10" s="4">
        <v>1.01</v>
      </c>
      <c r="S10" s="4">
        <v>6</v>
      </c>
      <c r="T10" s="4">
        <v>14.95</v>
      </c>
      <c r="U10" s="4">
        <v>20</v>
      </c>
      <c r="V10" s="9">
        <f t="shared" si="2"/>
        <v>0.74749999999999994</v>
      </c>
      <c r="W10" s="4">
        <v>1.01</v>
      </c>
      <c r="Y10" s="4">
        <v>6</v>
      </c>
      <c r="Z10" s="4">
        <v>14.82</v>
      </c>
      <c r="AA10" s="4">
        <v>20</v>
      </c>
      <c r="AB10" s="9">
        <f t="shared" si="3"/>
        <v>0.74099999999999999</v>
      </c>
      <c r="AC10" s="4">
        <v>1.01</v>
      </c>
    </row>
    <row r="11" spans="1:30" x14ac:dyDescent="0.3">
      <c r="A11" s="4">
        <v>7</v>
      </c>
      <c r="B11" s="5">
        <v>18.37</v>
      </c>
      <c r="C11" s="4">
        <v>20</v>
      </c>
      <c r="D11" s="9">
        <f t="shared" si="0"/>
        <v>0.91850000000000009</v>
      </c>
      <c r="E11" s="4">
        <v>1.01</v>
      </c>
      <c r="G11" s="4">
        <v>7</v>
      </c>
      <c r="H11" s="4">
        <v>20.95</v>
      </c>
      <c r="I11" s="4">
        <v>20</v>
      </c>
      <c r="J11" s="9">
        <f t="shared" si="4"/>
        <v>0.95250000000000001</v>
      </c>
      <c r="K11" s="4">
        <v>1.02</v>
      </c>
      <c r="M11" s="4">
        <v>7</v>
      </c>
      <c r="N11" s="4">
        <v>19.13</v>
      </c>
      <c r="O11" s="4">
        <v>20</v>
      </c>
      <c r="P11" s="9">
        <f t="shared" si="1"/>
        <v>0.95649999999999991</v>
      </c>
      <c r="Q11" s="4">
        <v>1.02</v>
      </c>
      <c r="S11" s="4">
        <v>7</v>
      </c>
      <c r="T11" s="4">
        <v>21.33</v>
      </c>
      <c r="U11" s="4">
        <v>20</v>
      </c>
      <c r="V11" s="9">
        <f t="shared" si="2"/>
        <v>0.93350000000000011</v>
      </c>
      <c r="W11" s="4">
        <v>1.02</v>
      </c>
      <c r="Y11" s="4">
        <v>7</v>
      </c>
      <c r="Z11" s="4">
        <v>21.14</v>
      </c>
      <c r="AA11" s="4">
        <v>20</v>
      </c>
      <c r="AB11" s="9">
        <f t="shared" si="3"/>
        <v>0.94299999999999995</v>
      </c>
      <c r="AC11" s="4">
        <v>1.04</v>
      </c>
    </row>
    <row r="12" spans="1:30" x14ac:dyDescent="0.3">
      <c r="A12" s="4">
        <v>8</v>
      </c>
      <c r="B12" s="5">
        <v>20.98</v>
      </c>
      <c r="C12" s="4">
        <v>19</v>
      </c>
      <c r="D12" s="9">
        <f t="shared" si="0"/>
        <v>0.89578947368421047</v>
      </c>
      <c r="E12" s="4">
        <v>1.01</v>
      </c>
      <c r="G12" s="4">
        <v>8</v>
      </c>
      <c r="H12" s="4">
        <v>33.71</v>
      </c>
      <c r="I12" s="4">
        <v>19</v>
      </c>
      <c r="J12" s="9">
        <f t="shared" si="4"/>
        <v>0.22578947368421048</v>
      </c>
      <c r="K12" s="4">
        <v>1.01</v>
      </c>
      <c r="M12" s="4">
        <v>8</v>
      </c>
      <c r="N12" s="6">
        <v>15.64</v>
      </c>
      <c r="O12" s="4">
        <v>21</v>
      </c>
      <c r="P12" s="9">
        <f t="shared" si="1"/>
        <v>0.74476190476190474</v>
      </c>
      <c r="Q12" s="4">
        <v>1.01</v>
      </c>
      <c r="S12" s="4">
        <v>8</v>
      </c>
      <c r="T12" s="4">
        <v>33.729999999999997</v>
      </c>
      <c r="U12" s="4">
        <v>19</v>
      </c>
      <c r="V12" s="9">
        <f t="shared" si="2"/>
        <v>0.22473684210526332</v>
      </c>
      <c r="W12" s="4">
        <v>1.01</v>
      </c>
      <c r="Y12" s="4">
        <v>8</v>
      </c>
      <c r="Z12" s="6">
        <v>15.76</v>
      </c>
      <c r="AA12" s="4">
        <v>21</v>
      </c>
      <c r="AB12" s="9">
        <f t="shared" si="3"/>
        <v>0.75047619047619052</v>
      </c>
      <c r="AC12" s="4">
        <v>1.01</v>
      </c>
    </row>
    <row r="13" spans="1:30" x14ac:dyDescent="0.3">
      <c r="A13" s="4">
        <v>9</v>
      </c>
      <c r="B13" s="5">
        <v>20.43</v>
      </c>
      <c r="C13" s="4">
        <v>19</v>
      </c>
      <c r="D13" s="9">
        <f t="shared" si="0"/>
        <v>0.92473684210526319</v>
      </c>
      <c r="E13" s="4">
        <v>1.01</v>
      </c>
      <c r="G13" s="4">
        <v>9</v>
      </c>
      <c r="H13" s="4">
        <v>26.44</v>
      </c>
      <c r="I13" s="4">
        <v>19</v>
      </c>
      <c r="J13" s="9">
        <f t="shared" si="4"/>
        <v>0.60842105263157886</v>
      </c>
      <c r="K13" s="4">
        <v>1.01</v>
      </c>
      <c r="M13" s="4">
        <v>9</v>
      </c>
      <c r="N13" s="4">
        <v>14.62</v>
      </c>
      <c r="O13" s="4">
        <v>21</v>
      </c>
      <c r="P13" s="9">
        <f t="shared" si="1"/>
        <v>0.69619047619047614</v>
      </c>
      <c r="Q13" s="4">
        <v>1.01</v>
      </c>
      <c r="S13" s="4">
        <v>9</v>
      </c>
      <c r="T13" s="4">
        <v>23.55</v>
      </c>
      <c r="U13" s="4">
        <v>19</v>
      </c>
      <c r="V13" s="9">
        <f t="shared" si="2"/>
        <v>0.76052631578947361</v>
      </c>
      <c r="W13" s="4">
        <v>1.01</v>
      </c>
      <c r="Y13" s="4">
        <v>9</v>
      </c>
      <c r="Z13" s="4">
        <v>13.65</v>
      </c>
      <c r="AA13" s="4">
        <v>21</v>
      </c>
      <c r="AB13" s="9">
        <f t="shared" si="3"/>
        <v>0.65</v>
      </c>
      <c r="AC13" s="4">
        <v>1.01</v>
      </c>
    </row>
    <row r="14" spans="1:30" x14ac:dyDescent="0.3">
      <c r="A14" s="4">
        <v>10</v>
      </c>
      <c r="B14" s="19">
        <v>19</v>
      </c>
      <c r="C14" s="4">
        <v>20</v>
      </c>
      <c r="D14" s="9">
        <f t="shared" si="0"/>
        <v>0.95</v>
      </c>
      <c r="E14" s="4">
        <v>1.01</v>
      </c>
      <c r="G14" s="4">
        <v>10</v>
      </c>
      <c r="H14" s="6">
        <v>21.04</v>
      </c>
      <c r="I14" s="4">
        <v>20</v>
      </c>
      <c r="J14" s="9">
        <f t="shared" si="4"/>
        <v>0.94800000000000006</v>
      </c>
      <c r="K14" s="4">
        <v>1.01</v>
      </c>
      <c r="M14" s="4">
        <v>10</v>
      </c>
      <c r="N14" s="6">
        <v>15.11</v>
      </c>
      <c r="O14" s="4">
        <v>20</v>
      </c>
      <c r="P14" s="9">
        <f t="shared" si="1"/>
        <v>0.75549999999999995</v>
      </c>
      <c r="Q14" s="4">
        <v>1.03</v>
      </c>
      <c r="S14" s="4">
        <v>10</v>
      </c>
      <c r="T14" s="6">
        <v>20.059999999999999</v>
      </c>
      <c r="U14" s="4">
        <v>20</v>
      </c>
      <c r="V14" s="9">
        <f t="shared" si="2"/>
        <v>0.99700000000000011</v>
      </c>
      <c r="W14" s="4">
        <v>1.01</v>
      </c>
      <c r="Y14" s="4">
        <v>10</v>
      </c>
      <c r="Z14" s="6">
        <v>15.9</v>
      </c>
      <c r="AA14" s="4">
        <v>20</v>
      </c>
      <c r="AB14" s="9">
        <f t="shared" si="3"/>
        <v>0.79500000000000004</v>
      </c>
      <c r="AC14" s="4">
        <v>1.08</v>
      </c>
    </row>
    <row r="15" spans="1:30" x14ac:dyDescent="0.3">
      <c r="A15" s="7"/>
      <c r="B15" s="8"/>
      <c r="C15" s="7"/>
      <c r="D15" s="10" t="str">
        <f>TEXT(AVERAGE(D5:D14),"0.0%")&amp; "±" &amp;TEXT(_xlfn.STDEV.S(D5:D14),"0.0%")</f>
        <v>88.3%±10.0%</v>
      </c>
      <c r="E15" s="20">
        <f>AVERAGE(E5:E14)</f>
        <v>1.01</v>
      </c>
      <c r="J15" s="10" t="str">
        <f>TEXT(AVERAGE(J5:J14),"0.0%")&amp; "±" &amp;TEXT(_xlfn.STDEV.S(J5:J14),"0.0%")</f>
        <v>68.8%±21.5%</v>
      </c>
      <c r="K15" s="10">
        <f>AVERAGE(K5:K14)</f>
        <v>1.0179999999999998</v>
      </c>
      <c r="P15" s="10" t="str">
        <f>TEXT(AVERAGE(P5:P14),"0.0%")&amp; "±" &amp;TEXT(_xlfn.STDEV.S(P5:P14),"0.0%")</f>
        <v>82.9%±9.7%</v>
      </c>
      <c r="Q15" s="10">
        <f>AVERAGE(Q5:Q14)</f>
        <v>1.012</v>
      </c>
      <c r="V15" s="10" t="str">
        <f>TEXT(AVERAGE(V5:V14),"0.0%")&amp; "±" &amp;TEXT(_xlfn.STDEV.S(V5:V14),"0.0%")</f>
        <v>69.5%±22.3%</v>
      </c>
      <c r="W15" s="10">
        <f>AVERAGE(W5:W14)</f>
        <v>1.0209999999999999</v>
      </c>
      <c r="AB15" s="10" t="str">
        <f>TEXT(AVERAGE(AB5:AB14),"0.0%")&amp; "±" &amp;TEXT(_xlfn.STDEV.S(AB5:AB14),"0.0%")</f>
        <v>80.0%±8.5%</v>
      </c>
      <c r="AC15" s="10">
        <f>AVERAGE(AC5:AC14)</f>
        <v>1.026</v>
      </c>
    </row>
    <row r="16" spans="1:30" x14ac:dyDescent="0.3">
      <c r="A16" s="7"/>
      <c r="B16" s="7"/>
      <c r="C16" s="7"/>
      <c r="D16" s="7"/>
      <c r="E16" s="7"/>
    </row>
    <row r="17" spans="1:29" x14ac:dyDescent="0.3">
      <c r="A17" s="15" t="s">
        <v>6</v>
      </c>
      <c r="B17" s="15"/>
      <c r="C17" s="15"/>
      <c r="D17" s="15"/>
      <c r="E17" s="15"/>
      <c r="G17" s="16" t="s">
        <v>12</v>
      </c>
      <c r="H17" s="16"/>
      <c r="I17" s="16"/>
      <c r="J17" s="16"/>
      <c r="K17" s="16"/>
      <c r="M17" s="16" t="s">
        <v>13</v>
      </c>
      <c r="N17" s="16"/>
      <c r="O17" s="16"/>
      <c r="P17" s="16"/>
      <c r="Q17" s="16"/>
      <c r="S17" s="18" t="s">
        <v>12</v>
      </c>
      <c r="T17" s="18"/>
      <c r="U17" s="18"/>
      <c r="V17" s="18"/>
      <c r="W17" s="18"/>
      <c r="Y17" s="18" t="s">
        <v>13</v>
      </c>
      <c r="Z17" s="18"/>
      <c r="AA17" s="18"/>
      <c r="AB17" s="18"/>
      <c r="AC17" s="18"/>
    </row>
    <row r="18" spans="1:29" x14ac:dyDescent="0.3">
      <c r="A18" s="3" t="s">
        <v>0</v>
      </c>
      <c r="B18" s="3" t="s">
        <v>1</v>
      </c>
      <c r="C18" s="3" t="s">
        <v>2</v>
      </c>
      <c r="D18" s="3" t="s">
        <v>22</v>
      </c>
      <c r="E18" s="3" t="s">
        <v>3</v>
      </c>
      <c r="G18" s="3" t="s">
        <v>0</v>
      </c>
      <c r="H18" s="3" t="s">
        <v>1</v>
      </c>
      <c r="I18" s="3" t="s">
        <v>2</v>
      </c>
      <c r="J18" s="3" t="s">
        <v>22</v>
      </c>
      <c r="K18" s="3" t="s">
        <v>3</v>
      </c>
      <c r="M18" s="3" t="s">
        <v>0</v>
      </c>
      <c r="N18" s="3" t="s">
        <v>1</v>
      </c>
      <c r="O18" s="3" t="s">
        <v>2</v>
      </c>
      <c r="P18" s="3" t="s">
        <v>22</v>
      </c>
      <c r="Q18" s="3" t="s">
        <v>3</v>
      </c>
      <c r="S18" s="3" t="s">
        <v>0</v>
      </c>
      <c r="T18" s="3" t="s">
        <v>1</v>
      </c>
      <c r="U18" s="3" t="s">
        <v>2</v>
      </c>
      <c r="V18" s="3" t="s">
        <v>22</v>
      </c>
      <c r="W18" s="3" t="s">
        <v>3</v>
      </c>
      <c r="Y18" s="3" t="s">
        <v>0</v>
      </c>
      <c r="Z18" s="3" t="s">
        <v>1</v>
      </c>
      <c r="AA18" s="3" t="s">
        <v>2</v>
      </c>
      <c r="AB18" s="3" t="s">
        <v>22</v>
      </c>
      <c r="AC18" s="3" t="s">
        <v>3</v>
      </c>
    </row>
    <row r="19" spans="1:29" x14ac:dyDescent="0.3">
      <c r="A19" s="4">
        <v>1</v>
      </c>
      <c r="B19" s="5">
        <v>32.18</v>
      </c>
      <c r="C19" s="4">
        <v>20</v>
      </c>
      <c r="D19" s="9">
        <f>(C19-ABS(C19-B19))/C19</f>
        <v>0.39100000000000001</v>
      </c>
      <c r="E19" s="4">
        <v>1.04</v>
      </c>
      <c r="G19" s="4">
        <v>1</v>
      </c>
      <c r="H19" s="6">
        <v>28.7</v>
      </c>
      <c r="I19" s="4">
        <v>20</v>
      </c>
      <c r="J19" s="9">
        <f>(I19-ABS(I19-H19))/I19</f>
        <v>0.56500000000000006</v>
      </c>
      <c r="K19" s="4">
        <v>1.01</v>
      </c>
      <c r="M19" s="4">
        <v>1</v>
      </c>
      <c r="N19" s="4">
        <v>13.59</v>
      </c>
      <c r="O19" s="4">
        <v>21</v>
      </c>
      <c r="P19" s="9">
        <f>(O19-ABS(O19-N19))/O19</f>
        <v>0.64714285714285713</v>
      </c>
      <c r="Q19" s="4">
        <v>1.02</v>
      </c>
      <c r="S19" s="4">
        <v>1</v>
      </c>
      <c r="T19" s="4">
        <v>27.64</v>
      </c>
      <c r="U19" s="4">
        <v>20</v>
      </c>
      <c r="V19" s="9">
        <f>(U19-ABS(U19-T19))/U19</f>
        <v>0.61799999999999999</v>
      </c>
      <c r="W19" s="4">
        <v>1.01</v>
      </c>
      <c r="Y19" s="4">
        <v>1</v>
      </c>
      <c r="Z19" s="4">
        <v>15.35</v>
      </c>
      <c r="AA19" s="4">
        <v>21</v>
      </c>
      <c r="AB19" s="9">
        <f>(AA19-ABS(AA19-Z19))/AA19</f>
        <v>0.73095238095238091</v>
      </c>
      <c r="AC19" s="4">
        <v>1.03</v>
      </c>
    </row>
    <row r="20" spans="1:29" x14ac:dyDescent="0.3">
      <c r="A20" s="4">
        <v>2</v>
      </c>
      <c r="B20" s="5">
        <v>22.54</v>
      </c>
      <c r="C20" s="4">
        <v>21</v>
      </c>
      <c r="D20" s="9">
        <f t="shared" ref="D20:D28" si="5">(C20-ABS(C20-B20))/C20</f>
        <v>0.92666666666666675</v>
      </c>
      <c r="E20" s="4">
        <v>1.05</v>
      </c>
      <c r="G20" s="4">
        <v>2</v>
      </c>
      <c r="H20" s="4">
        <v>23.65</v>
      </c>
      <c r="I20" s="4">
        <v>21</v>
      </c>
      <c r="J20" s="9">
        <f t="shared" ref="J20:J28" si="6">(I20-ABS(I20-H20))/I20</f>
        <v>0.87380952380952392</v>
      </c>
      <c r="K20" s="4">
        <v>1.02</v>
      </c>
      <c r="M20" s="4">
        <v>2</v>
      </c>
      <c r="N20" s="4">
        <v>15.59</v>
      </c>
      <c r="O20" s="4">
        <v>19</v>
      </c>
      <c r="P20" s="9">
        <f t="shared" ref="P20:P28" si="7">(O20-ABS(O20-N20))/O20</f>
        <v>0.82052631578947366</v>
      </c>
      <c r="Q20" s="4">
        <v>1.02</v>
      </c>
      <c r="S20" s="4">
        <v>2</v>
      </c>
      <c r="T20" s="4">
        <v>27.26</v>
      </c>
      <c r="U20" s="4">
        <v>21</v>
      </c>
      <c r="V20" s="9">
        <f t="shared" ref="V20:V28" si="8">(U20-ABS(U20-T20))/U20</f>
        <v>0.70190476190476181</v>
      </c>
      <c r="W20" s="4">
        <v>1.03</v>
      </c>
      <c r="Y20" s="4">
        <v>2</v>
      </c>
      <c r="Z20" s="4">
        <v>17.88</v>
      </c>
      <c r="AA20" s="4">
        <v>19</v>
      </c>
      <c r="AB20" s="9">
        <f t="shared" ref="AB20:AB28" si="9">(AA20-ABS(AA20-Z20))/AA20</f>
        <v>0.94105263157894736</v>
      </c>
      <c r="AC20" s="4">
        <v>1.06</v>
      </c>
    </row>
    <row r="21" spans="1:29" x14ac:dyDescent="0.3">
      <c r="A21" s="4">
        <v>3</v>
      </c>
      <c r="B21" s="5">
        <v>16.010000000000002</v>
      </c>
      <c r="C21" s="4">
        <v>21</v>
      </c>
      <c r="D21" s="9">
        <f t="shared" si="5"/>
        <v>0.76238095238095249</v>
      </c>
      <c r="E21" s="4">
        <v>1.04</v>
      </c>
      <c r="G21" s="4">
        <v>3</v>
      </c>
      <c r="H21" s="4">
        <v>28.59</v>
      </c>
      <c r="I21" s="4">
        <v>21</v>
      </c>
      <c r="J21" s="9">
        <f t="shared" si="6"/>
        <v>0.63857142857142857</v>
      </c>
      <c r="K21" s="4">
        <v>1.01</v>
      </c>
      <c r="M21" s="4">
        <v>3</v>
      </c>
      <c r="N21" s="4">
        <v>17.670000000000002</v>
      </c>
      <c r="O21" s="4">
        <v>21</v>
      </c>
      <c r="P21" s="9">
        <f t="shared" si="7"/>
        <v>0.84142857142857153</v>
      </c>
      <c r="Q21" s="4">
        <v>1.01</v>
      </c>
      <c r="R21" s="7"/>
      <c r="S21" s="4">
        <v>3</v>
      </c>
      <c r="T21" s="4">
        <v>27.49</v>
      </c>
      <c r="U21" s="4">
        <v>21</v>
      </c>
      <c r="V21" s="9">
        <f t="shared" si="8"/>
        <v>0.69095238095238098</v>
      </c>
      <c r="W21" s="4">
        <v>1.01</v>
      </c>
      <c r="Y21" s="4">
        <v>3</v>
      </c>
      <c r="Z21" s="4">
        <v>18.739999999999998</v>
      </c>
      <c r="AA21" s="4">
        <v>21</v>
      </c>
      <c r="AB21" s="9">
        <f t="shared" si="9"/>
        <v>0.89238095238095227</v>
      </c>
      <c r="AC21" s="4">
        <v>1.03</v>
      </c>
    </row>
    <row r="22" spans="1:29" x14ac:dyDescent="0.3">
      <c r="A22" s="4">
        <v>4</v>
      </c>
      <c r="B22" s="5">
        <v>24.68</v>
      </c>
      <c r="C22" s="4">
        <v>19</v>
      </c>
      <c r="D22" s="9">
        <f t="shared" si="5"/>
        <v>0.70105263157894737</v>
      </c>
      <c r="E22" s="4">
        <v>1.79</v>
      </c>
      <c r="G22" s="4">
        <v>4</v>
      </c>
      <c r="H22" s="4">
        <v>29.33</v>
      </c>
      <c r="I22" s="4">
        <v>19</v>
      </c>
      <c r="J22" s="9">
        <f t="shared" si="6"/>
        <v>0.45631578947368429</v>
      </c>
      <c r="K22" s="4">
        <v>1.01</v>
      </c>
      <c r="M22" s="4">
        <v>4</v>
      </c>
      <c r="N22" s="4">
        <v>16.95</v>
      </c>
      <c r="O22" s="4">
        <v>20</v>
      </c>
      <c r="P22" s="9">
        <f t="shared" si="7"/>
        <v>0.84749999999999992</v>
      </c>
      <c r="Q22" s="4">
        <v>1.01</v>
      </c>
      <c r="S22" s="4">
        <v>4</v>
      </c>
      <c r="T22" s="4">
        <v>31.72</v>
      </c>
      <c r="U22" s="4">
        <v>19</v>
      </c>
      <c r="V22" s="9">
        <f t="shared" si="8"/>
        <v>0.33052631578947372</v>
      </c>
      <c r="W22" s="4">
        <v>1.01</v>
      </c>
      <c r="Y22" s="4">
        <v>4</v>
      </c>
      <c r="Z22" s="4">
        <v>22.47</v>
      </c>
      <c r="AA22" s="4">
        <v>20</v>
      </c>
      <c r="AB22" s="9">
        <f t="shared" si="9"/>
        <v>0.87650000000000006</v>
      </c>
      <c r="AC22" s="4">
        <v>1.41</v>
      </c>
    </row>
    <row r="23" spans="1:29" x14ac:dyDescent="0.3">
      <c r="A23" s="4">
        <v>5</v>
      </c>
      <c r="B23" s="5">
        <v>18.7</v>
      </c>
      <c r="C23" s="4">
        <v>20</v>
      </c>
      <c r="D23" s="9">
        <f t="shared" si="5"/>
        <v>0.93499999999999994</v>
      </c>
      <c r="E23" s="4">
        <v>1.04</v>
      </c>
      <c r="G23" s="4">
        <v>5</v>
      </c>
      <c r="H23" s="4">
        <v>25.35</v>
      </c>
      <c r="I23" s="4">
        <v>20</v>
      </c>
      <c r="J23" s="9">
        <f t="shared" si="6"/>
        <v>0.73249999999999993</v>
      </c>
      <c r="K23" s="4">
        <v>1.01</v>
      </c>
      <c r="M23" s="4">
        <v>5</v>
      </c>
      <c r="N23" s="4">
        <v>11.89</v>
      </c>
      <c r="O23" s="4">
        <v>20</v>
      </c>
      <c r="P23" s="9">
        <f t="shared" si="7"/>
        <v>0.59450000000000003</v>
      </c>
      <c r="Q23" s="4">
        <v>1.02</v>
      </c>
      <c r="S23" s="4">
        <v>5</v>
      </c>
      <c r="T23" s="4">
        <v>24.32</v>
      </c>
      <c r="U23" s="4">
        <v>20</v>
      </c>
      <c r="V23" s="9">
        <f t="shared" si="8"/>
        <v>0.78400000000000003</v>
      </c>
      <c r="W23" s="4">
        <v>1.01</v>
      </c>
      <c r="Y23" s="4">
        <v>5</v>
      </c>
      <c r="Z23" s="4">
        <v>12.72</v>
      </c>
      <c r="AA23" s="4">
        <v>20</v>
      </c>
      <c r="AB23" s="9">
        <f t="shared" si="9"/>
        <v>0.63600000000000001</v>
      </c>
      <c r="AC23" s="4">
        <v>1.04</v>
      </c>
    </row>
    <row r="24" spans="1:29" x14ac:dyDescent="0.3">
      <c r="A24" s="4">
        <v>6</v>
      </c>
      <c r="B24" s="5">
        <v>15.06</v>
      </c>
      <c r="C24" s="4">
        <v>20</v>
      </c>
      <c r="D24" s="9">
        <f t="shared" si="5"/>
        <v>0.753</v>
      </c>
      <c r="E24" s="4">
        <v>1.01</v>
      </c>
      <c r="G24" s="4">
        <v>6</v>
      </c>
      <c r="H24" s="4">
        <v>22.68</v>
      </c>
      <c r="I24" s="4">
        <v>20</v>
      </c>
      <c r="J24" s="9">
        <f t="shared" si="6"/>
        <v>0.86599999999999999</v>
      </c>
      <c r="K24" s="6">
        <v>1</v>
      </c>
      <c r="M24" s="4">
        <v>6</v>
      </c>
      <c r="N24" s="4">
        <v>12.19</v>
      </c>
      <c r="O24" s="4">
        <v>20</v>
      </c>
      <c r="P24" s="9">
        <f t="shared" si="7"/>
        <v>0.60949999999999993</v>
      </c>
      <c r="Q24" s="4">
        <v>1.01</v>
      </c>
      <c r="S24" s="4">
        <v>6</v>
      </c>
      <c r="T24" s="4">
        <v>18.329999999999998</v>
      </c>
      <c r="U24" s="4">
        <v>20</v>
      </c>
      <c r="V24" s="9">
        <f t="shared" si="8"/>
        <v>0.91649999999999987</v>
      </c>
      <c r="W24" s="6">
        <v>1</v>
      </c>
      <c r="Y24" s="4">
        <v>6</v>
      </c>
      <c r="Z24" s="4">
        <v>12.57</v>
      </c>
      <c r="AA24" s="4">
        <v>20</v>
      </c>
      <c r="AB24" s="9">
        <f t="shared" si="9"/>
        <v>0.62850000000000006</v>
      </c>
      <c r="AC24" s="4">
        <v>1.02</v>
      </c>
    </row>
    <row r="25" spans="1:29" x14ac:dyDescent="0.3">
      <c r="A25" s="4">
        <v>7</v>
      </c>
      <c r="B25" s="5">
        <v>18.760000000000002</v>
      </c>
      <c r="C25" s="4">
        <v>21</v>
      </c>
      <c r="D25" s="9">
        <f t="shared" si="5"/>
        <v>0.89333333333333342</v>
      </c>
      <c r="E25" s="4">
        <v>1.02</v>
      </c>
      <c r="G25" s="4">
        <v>7</v>
      </c>
      <c r="H25" s="4">
        <v>19.190000000000001</v>
      </c>
      <c r="I25" s="4">
        <v>21</v>
      </c>
      <c r="J25" s="9">
        <f t="shared" si="6"/>
        <v>0.91380952380952385</v>
      </c>
      <c r="K25" s="4">
        <v>1.02</v>
      </c>
      <c r="M25" s="4">
        <v>7</v>
      </c>
      <c r="N25" s="4">
        <v>15.07</v>
      </c>
      <c r="O25" s="4">
        <v>20</v>
      </c>
      <c r="P25" s="9">
        <f t="shared" si="7"/>
        <v>0.75350000000000006</v>
      </c>
      <c r="Q25" s="4">
        <v>1.01</v>
      </c>
      <c r="S25" s="4">
        <v>7</v>
      </c>
      <c r="T25" s="4">
        <v>19.25</v>
      </c>
      <c r="U25" s="4">
        <v>21</v>
      </c>
      <c r="V25" s="9">
        <f t="shared" si="8"/>
        <v>0.91666666666666663</v>
      </c>
      <c r="W25" s="4">
        <v>1.02</v>
      </c>
      <c r="Y25" s="4">
        <v>7</v>
      </c>
      <c r="Z25" s="4">
        <v>17.579999999999998</v>
      </c>
      <c r="AA25" s="4">
        <v>20</v>
      </c>
      <c r="AB25" s="9">
        <f t="shared" si="9"/>
        <v>0.87899999999999989</v>
      </c>
      <c r="AC25" s="4">
        <v>1.02</v>
      </c>
    </row>
    <row r="26" spans="1:29" x14ac:dyDescent="0.3">
      <c r="A26" s="4">
        <v>8</v>
      </c>
      <c r="B26" s="5">
        <v>17.75</v>
      </c>
      <c r="C26" s="4">
        <v>21</v>
      </c>
      <c r="D26" s="9">
        <f t="shared" si="5"/>
        <v>0.84523809523809523</v>
      </c>
      <c r="E26" s="4">
        <v>1.05</v>
      </c>
      <c r="G26" s="4">
        <v>8</v>
      </c>
      <c r="H26" s="4">
        <v>23.34</v>
      </c>
      <c r="I26" s="4">
        <v>21</v>
      </c>
      <c r="J26" s="9">
        <f t="shared" si="6"/>
        <v>0.88857142857142857</v>
      </c>
      <c r="K26" s="4">
        <v>1.01</v>
      </c>
      <c r="M26" s="4">
        <v>8</v>
      </c>
      <c r="N26" s="4">
        <v>9.14</v>
      </c>
      <c r="O26" s="4">
        <v>21</v>
      </c>
      <c r="P26" s="9">
        <f t="shared" si="7"/>
        <v>0.43523809523809526</v>
      </c>
      <c r="Q26" s="4">
        <v>1.02</v>
      </c>
      <c r="S26" s="4">
        <v>8</v>
      </c>
      <c r="T26" s="4">
        <v>21.53</v>
      </c>
      <c r="U26" s="4">
        <v>21</v>
      </c>
      <c r="V26" s="9">
        <f t="shared" si="8"/>
        <v>0.97476190476190472</v>
      </c>
      <c r="W26" s="4">
        <v>1.01</v>
      </c>
      <c r="Y26" s="4">
        <v>8</v>
      </c>
      <c r="Z26" s="4">
        <v>10.119999999999999</v>
      </c>
      <c r="AA26" s="4">
        <v>21</v>
      </c>
      <c r="AB26" s="9">
        <f t="shared" si="9"/>
        <v>0.48190476190476189</v>
      </c>
      <c r="AC26" s="4">
        <v>1.02</v>
      </c>
    </row>
    <row r="27" spans="1:29" x14ac:dyDescent="0.3">
      <c r="A27" s="4">
        <v>9</v>
      </c>
      <c r="B27" s="5">
        <v>25.32</v>
      </c>
      <c r="C27" s="4">
        <v>21</v>
      </c>
      <c r="D27" s="9">
        <f t="shared" si="5"/>
        <v>0.79428571428571426</v>
      </c>
      <c r="E27" s="4">
        <v>1.01</v>
      </c>
      <c r="G27" s="4">
        <v>9</v>
      </c>
      <c r="H27" s="4">
        <v>20.75</v>
      </c>
      <c r="I27" s="4">
        <v>21</v>
      </c>
      <c r="J27" s="9">
        <f t="shared" si="6"/>
        <v>0.98809523809523814</v>
      </c>
      <c r="K27" s="4">
        <v>1.02</v>
      </c>
      <c r="M27" s="4">
        <v>9</v>
      </c>
      <c r="N27" s="4">
        <v>11.6</v>
      </c>
      <c r="O27" s="4">
        <v>21</v>
      </c>
      <c r="P27" s="9">
        <f t="shared" si="7"/>
        <v>0.55238095238095242</v>
      </c>
      <c r="Q27" s="4">
        <v>1.02</v>
      </c>
      <c r="S27" s="4">
        <v>9</v>
      </c>
      <c r="T27" s="4">
        <v>22.39</v>
      </c>
      <c r="U27" s="4">
        <v>21</v>
      </c>
      <c r="V27" s="9">
        <f t="shared" si="8"/>
        <v>0.93380952380952376</v>
      </c>
      <c r="W27" s="4">
        <v>1.02</v>
      </c>
      <c r="Y27" s="4">
        <v>9</v>
      </c>
      <c r="Z27" s="4">
        <v>13.29</v>
      </c>
      <c r="AA27" s="4">
        <v>21</v>
      </c>
      <c r="AB27" s="9">
        <f t="shared" si="9"/>
        <v>0.63285714285714278</v>
      </c>
      <c r="AC27" s="4">
        <v>1.02</v>
      </c>
    </row>
    <row r="28" spans="1:29" x14ac:dyDescent="0.3">
      <c r="A28" s="4">
        <v>10</v>
      </c>
      <c r="B28" s="5">
        <v>18.690000000000001</v>
      </c>
      <c r="C28" s="4">
        <v>21</v>
      </c>
      <c r="D28" s="9">
        <f t="shared" si="5"/>
        <v>0.89</v>
      </c>
      <c r="E28" s="4">
        <v>1.02</v>
      </c>
      <c r="G28" s="4">
        <v>10</v>
      </c>
      <c r="H28" s="6">
        <v>17.34</v>
      </c>
      <c r="I28" s="4">
        <v>21</v>
      </c>
      <c r="J28" s="9">
        <f t="shared" si="6"/>
        <v>0.82571428571428573</v>
      </c>
      <c r="K28" s="4">
        <v>1.03</v>
      </c>
      <c r="M28" s="4">
        <v>10</v>
      </c>
      <c r="N28" s="6">
        <v>13.52</v>
      </c>
      <c r="O28" s="4">
        <v>20</v>
      </c>
      <c r="P28" s="9">
        <f t="shared" si="7"/>
        <v>0.67599999999999993</v>
      </c>
      <c r="Q28" s="4">
        <v>1.01</v>
      </c>
      <c r="S28" s="4">
        <v>10</v>
      </c>
      <c r="T28" s="6">
        <v>18.03</v>
      </c>
      <c r="U28" s="4">
        <v>21</v>
      </c>
      <c r="V28" s="9">
        <f t="shared" si="8"/>
        <v>0.85857142857142865</v>
      </c>
      <c r="W28" s="6">
        <v>1.03</v>
      </c>
      <c r="Y28" s="4">
        <v>10</v>
      </c>
      <c r="Z28" s="6">
        <v>15.79</v>
      </c>
      <c r="AA28" s="4">
        <v>20</v>
      </c>
      <c r="AB28" s="9">
        <f t="shared" si="9"/>
        <v>0.78949999999999998</v>
      </c>
      <c r="AC28" s="4">
        <v>1.02</v>
      </c>
    </row>
    <row r="29" spans="1:29" x14ac:dyDescent="0.3">
      <c r="A29" s="7"/>
      <c r="B29" s="8"/>
      <c r="C29" s="7"/>
      <c r="D29" s="10" t="str">
        <f>TEXT(AVERAGE(D19:D28),"0.0%")&amp; "±" &amp;TEXT(_xlfn.STDEV.S(D19:D28),"0.0%")</f>
        <v>78.9%±16.1%</v>
      </c>
      <c r="E29" s="10">
        <f>AVERAGE(E19:E28)</f>
        <v>1.107</v>
      </c>
      <c r="J29" s="10" t="str">
        <f>TEXT(AVERAGE(J19:J28),"0.0%")&amp; "±" &amp;TEXT(_xlfn.STDEV.S(J19:J28),"0.0%")</f>
        <v>77.5%±17.1%</v>
      </c>
      <c r="K29" s="10">
        <f>AVERAGE(K19:K28)</f>
        <v>1.0139999999999998</v>
      </c>
      <c r="P29" s="10" t="str">
        <f>TEXT(AVERAGE(P19:P28),"0.0%")&amp; "±" &amp;TEXT(_xlfn.STDEV.S(P19:P28),"0.0%")</f>
        <v>67.8%±13.7%</v>
      </c>
      <c r="Q29" s="10">
        <f>AVERAGE(Q19:Q28)</f>
        <v>1.0149999999999999</v>
      </c>
      <c r="V29" s="10" t="str">
        <f>TEXT(AVERAGE(V19:V28),"0.0%")&amp; "±" &amp;TEXT(_xlfn.STDEV.S(V19:V28),"0.0%")</f>
        <v>77.3%±19.6%</v>
      </c>
      <c r="W29" s="10">
        <f>AVERAGE(W19:W28)</f>
        <v>1.0149999999999999</v>
      </c>
      <c r="AB29" s="10" t="str">
        <f>TEXT(AVERAGE(AB19:AB28),"0.0%")&amp; "±" &amp;TEXT(_xlfn.STDEV.S(AB19:AB28),"0.0%")</f>
        <v>74.9%±15.1%</v>
      </c>
      <c r="AC29" s="10">
        <f>AVERAGE(AC19:AC28)</f>
        <v>1.0669999999999997</v>
      </c>
    </row>
    <row r="30" spans="1:29" x14ac:dyDescent="0.3">
      <c r="A30" s="7"/>
      <c r="B30" s="7"/>
      <c r="C30" s="7"/>
      <c r="D30" s="7"/>
      <c r="E30" s="7"/>
      <c r="K30" s="7"/>
      <c r="Q30" s="7"/>
      <c r="W30" s="7"/>
      <c r="AC30" s="7"/>
    </row>
    <row r="31" spans="1:29" x14ac:dyDescent="0.3">
      <c r="A31" s="15" t="s">
        <v>7</v>
      </c>
      <c r="B31" s="15"/>
      <c r="C31" s="15"/>
      <c r="D31" s="15"/>
      <c r="E31" s="15"/>
      <c r="G31" s="16" t="s">
        <v>14</v>
      </c>
      <c r="H31" s="16"/>
      <c r="I31" s="16"/>
      <c r="J31" s="16"/>
      <c r="K31" s="16"/>
      <c r="M31" s="16" t="s">
        <v>15</v>
      </c>
      <c r="N31" s="16"/>
      <c r="O31" s="16"/>
      <c r="P31" s="16"/>
      <c r="Q31" s="16"/>
      <c r="S31" s="18" t="s">
        <v>14</v>
      </c>
      <c r="T31" s="18"/>
      <c r="U31" s="18"/>
      <c r="V31" s="18"/>
      <c r="W31" s="18"/>
      <c r="Y31" s="18" t="s">
        <v>15</v>
      </c>
      <c r="Z31" s="18"/>
      <c r="AA31" s="18"/>
      <c r="AB31" s="18"/>
      <c r="AC31" s="18"/>
    </row>
    <row r="32" spans="1:29" x14ac:dyDescent="0.3">
      <c r="A32" s="3" t="s">
        <v>0</v>
      </c>
      <c r="B32" s="3" t="s">
        <v>1</v>
      </c>
      <c r="C32" s="3" t="s">
        <v>2</v>
      </c>
      <c r="D32" s="3" t="s">
        <v>22</v>
      </c>
      <c r="E32" s="3" t="s">
        <v>3</v>
      </c>
      <c r="G32" s="3" t="s">
        <v>0</v>
      </c>
      <c r="H32" s="3" t="s">
        <v>1</v>
      </c>
      <c r="I32" s="3" t="s">
        <v>2</v>
      </c>
      <c r="J32" s="3" t="s">
        <v>22</v>
      </c>
      <c r="K32" s="3" t="s">
        <v>3</v>
      </c>
      <c r="M32" s="3" t="s">
        <v>0</v>
      </c>
      <c r="N32" s="3" t="s">
        <v>1</v>
      </c>
      <c r="O32" s="3" t="s">
        <v>2</v>
      </c>
      <c r="P32" s="3" t="s">
        <v>22</v>
      </c>
      <c r="Q32" s="3" t="s">
        <v>3</v>
      </c>
      <c r="S32" s="3" t="s">
        <v>0</v>
      </c>
      <c r="T32" s="3" t="s">
        <v>1</v>
      </c>
      <c r="U32" s="3" t="s">
        <v>2</v>
      </c>
      <c r="V32" s="3" t="s">
        <v>22</v>
      </c>
      <c r="W32" s="3" t="s">
        <v>3</v>
      </c>
      <c r="Y32" s="3" t="s">
        <v>0</v>
      </c>
      <c r="Z32" s="3" t="s">
        <v>1</v>
      </c>
      <c r="AA32" s="3" t="s">
        <v>2</v>
      </c>
      <c r="AB32" s="3" t="s">
        <v>22</v>
      </c>
      <c r="AC32" s="3" t="s">
        <v>3</v>
      </c>
    </row>
    <row r="33" spans="1:29" x14ac:dyDescent="0.3">
      <c r="A33" s="4">
        <v>1</v>
      </c>
      <c r="B33" s="5">
        <v>19.61</v>
      </c>
      <c r="C33" s="4">
        <v>21</v>
      </c>
      <c r="D33" s="9">
        <f>(C33-ABS(C33-B33))/C33</f>
        <v>0.93380952380952376</v>
      </c>
      <c r="E33" s="4">
        <v>1.02</v>
      </c>
      <c r="G33" s="4">
        <v>1</v>
      </c>
      <c r="H33" s="4">
        <v>24.42</v>
      </c>
      <c r="I33" s="4">
        <v>20</v>
      </c>
      <c r="J33" s="9">
        <f>(I33-ABS(I33-H33))/I33</f>
        <v>0.77899999999999991</v>
      </c>
      <c r="K33" s="6">
        <v>1</v>
      </c>
      <c r="M33" s="4">
        <v>1</v>
      </c>
      <c r="N33" s="4">
        <v>20.53</v>
      </c>
      <c r="O33" s="4">
        <v>20</v>
      </c>
      <c r="P33" s="9">
        <f>(O33-ABS(O33-N33))/O33</f>
        <v>0.97349999999999992</v>
      </c>
      <c r="Q33" s="4">
        <v>1.02</v>
      </c>
      <c r="S33" s="4">
        <v>1</v>
      </c>
      <c r="T33" s="4">
        <v>27.97</v>
      </c>
      <c r="U33" s="4">
        <v>20</v>
      </c>
      <c r="V33" s="9">
        <f>(U33-ABS(U33-T33))/U33</f>
        <v>0.60150000000000003</v>
      </c>
      <c r="W33" s="4">
        <v>1.01</v>
      </c>
      <c r="Y33" s="4">
        <v>1</v>
      </c>
      <c r="Z33" s="4">
        <v>27.09</v>
      </c>
      <c r="AA33" s="4">
        <v>20</v>
      </c>
      <c r="AB33" s="9">
        <f>(AA33-ABS(AA33-Z33))/AA33</f>
        <v>0.64549999999999996</v>
      </c>
      <c r="AC33" s="4">
        <v>1.04</v>
      </c>
    </row>
    <row r="34" spans="1:29" x14ac:dyDescent="0.3">
      <c r="A34" s="4">
        <v>2</v>
      </c>
      <c r="B34" s="5">
        <v>25.36</v>
      </c>
      <c r="C34" s="4">
        <v>19</v>
      </c>
      <c r="D34" s="9">
        <f t="shared" ref="D34:D42" si="10">(C34-ABS(C34-B34))/C34</f>
        <v>0.66526315789473689</v>
      </c>
      <c r="E34" s="4">
        <v>1.06</v>
      </c>
      <c r="G34" s="4">
        <v>2</v>
      </c>
      <c r="H34" s="4">
        <v>23.17</v>
      </c>
      <c r="I34" s="4">
        <v>21</v>
      </c>
      <c r="J34" s="9">
        <f t="shared" ref="J34:J42" si="11">(I34-ABS(I34-H34))/I34</f>
        <v>0.89666666666666661</v>
      </c>
      <c r="K34" s="4">
        <v>1.01</v>
      </c>
      <c r="M34" s="4">
        <v>2</v>
      </c>
      <c r="N34" s="4">
        <v>21.87</v>
      </c>
      <c r="O34" s="4">
        <v>20</v>
      </c>
      <c r="P34" s="9">
        <f t="shared" ref="P34:P42" si="12">(O34-ABS(O34-N34))/O34</f>
        <v>0.90649999999999997</v>
      </c>
      <c r="Q34" s="4">
        <v>1.03</v>
      </c>
      <c r="S34" s="4">
        <v>2</v>
      </c>
      <c r="T34" s="4">
        <v>23.12</v>
      </c>
      <c r="U34" s="4">
        <v>21</v>
      </c>
      <c r="V34" s="9">
        <f t="shared" ref="V34:V42" si="13">(U34-ABS(U34-T34))/U34</f>
        <v>0.89904761904761898</v>
      </c>
      <c r="W34" s="4">
        <v>1.02</v>
      </c>
      <c r="Y34" s="4">
        <v>2</v>
      </c>
      <c r="Z34" s="4">
        <v>22.32</v>
      </c>
      <c r="AA34" s="4">
        <v>20</v>
      </c>
      <c r="AB34" s="9">
        <f t="shared" ref="AB34:AB42" si="14">(AA34-ABS(AA34-Z34))/AA34</f>
        <v>0.88400000000000001</v>
      </c>
      <c r="AC34" s="4">
        <v>1.06</v>
      </c>
    </row>
    <row r="35" spans="1:29" x14ac:dyDescent="0.3">
      <c r="A35" s="4">
        <v>3</v>
      </c>
      <c r="B35" s="19">
        <v>27.6</v>
      </c>
      <c r="C35" s="4">
        <v>21</v>
      </c>
      <c r="D35" s="9">
        <f t="shared" si="10"/>
        <v>0.68571428571428561</v>
      </c>
      <c r="E35" s="4">
        <v>1.01</v>
      </c>
      <c r="G35" s="4">
        <v>3</v>
      </c>
      <c r="H35" s="4">
        <v>22.01</v>
      </c>
      <c r="I35" s="4">
        <v>21</v>
      </c>
      <c r="J35" s="9">
        <f t="shared" si="11"/>
        <v>0.95190476190476181</v>
      </c>
      <c r="K35" s="4">
        <v>1.01</v>
      </c>
      <c r="M35" s="4">
        <v>3</v>
      </c>
      <c r="N35" s="4">
        <v>18.05</v>
      </c>
      <c r="O35" s="4">
        <v>20</v>
      </c>
      <c r="P35" s="9">
        <f t="shared" si="12"/>
        <v>0.90250000000000008</v>
      </c>
      <c r="Q35" s="4">
        <v>1.02</v>
      </c>
      <c r="S35" s="4">
        <v>3</v>
      </c>
      <c r="T35" s="4">
        <v>28.41</v>
      </c>
      <c r="U35" s="4">
        <v>21</v>
      </c>
      <c r="V35" s="9">
        <f t="shared" si="13"/>
        <v>0.64714285714285713</v>
      </c>
      <c r="W35" s="4">
        <v>1.02</v>
      </c>
      <c r="Y35" s="4">
        <v>3</v>
      </c>
      <c r="Z35" s="4">
        <v>19.940000000000001</v>
      </c>
      <c r="AA35" s="4">
        <v>20</v>
      </c>
      <c r="AB35" s="9">
        <f t="shared" si="14"/>
        <v>0.99700000000000011</v>
      </c>
      <c r="AC35" s="4">
        <v>1.06</v>
      </c>
    </row>
    <row r="36" spans="1:29" x14ac:dyDescent="0.3">
      <c r="A36" s="4">
        <v>4</v>
      </c>
      <c r="B36" s="5">
        <v>22.46</v>
      </c>
      <c r="C36" s="4">
        <v>20</v>
      </c>
      <c r="D36" s="9">
        <f t="shared" si="10"/>
        <v>0.877</v>
      </c>
      <c r="E36" s="4">
        <v>1.02</v>
      </c>
      <c r="G36" s="4">
        <v>4</v>
      </c>
      <c r="H36" s="4">
        <v>19.86</v>
      </c>
      <c r="I36" s="4">
        <v>19</v>
      </c>
      <c r="J36" s="9">
        <f t="shared" si="11"/>
        <v>0.95473684210526322</v>
      </c>
      <c r="K36" s="4">
        <v>1.01</v>
      </c>
      <c r="M36" s="4">
        <v>4</v>
      </c>
      <c r="N36" s="4">
        <v>18.62</v>
      </c>
      <c r="O36" s="4">
        <v>20</v>
      </c>
      <c r="P36" s="9">
        <f t="shared" si="12"/>
        <v>0.93100000000000005</v>
      </c>
      <c r="Q36" s="4">
        <v>1.02</v>
      </c>
      <c r="S36" s="4">
        <v>4</v>
      </c>
      <c r="T36" s="4">
        <v>23.66</v>
      </c>
      <c r="U36" s="4">
        <v>19</v>
      </c>
      <c r="V36" s="9">
        <f t="shared" si="13"/>
        <v>0.75473684210526315</v>
      </c>
      <c r="W36" s="4">
        <v>1.02</v>
      </c>
      <c r="Y36" s="4">
        <v>4</v>
      </c>
      <c r="Z36" s="4">
        <v>17.84</v>
      </c>
      <c r="AA36" s="4">
        <v>20</v>
      </c>
      <c r="AB36" s="9">
        <f t="shared" si="14"/>
        <v>0.89200000000000002</v>
      </c>
      <c r="AC36" s="4">
        <v>1.75</v>
      </c>
    </row>
    <row r="37" spans="1:29" x14ac:dyDescent="0.3">
      <c r="A37" s="4">
        <v>5</v>
      </c>
      <c r="B37" s="5">
        <v>25.74</v>
      </c>
      <c r="C37" s="4">
        <v>20</v>
      </c>
      <c r="D37" s="9">
        <f t="shared" si="10"/>
        <v>0.71300000000000008</v>
      </c>
      <c r="E37" s="4">
        <v>1.01</v>
      </c>
      <c r="G37" s="4">
        <v>5</v>
      </c>
      <c r="H37" s="4">
        <v>19.23</v>
      </c>
      <c r="I37" s="4">
        <v>20</v>
      </c>
      <c r="J37" s="9">
        <f t="shared" si="11"/>
        <v>0.96150000000000002</v>
      </c>
      <c r="K37" s="4">
        <v>1.01</v>
      </c>
      <c r="M37" s="4">
        <v>5</v>
      </c>
      <c r="N37" s="4">
        <v>19.760000000000002</v>
      </c>
      <c r="O37" s="4">
        <v>20</v>
      </c>
      <c r="P37" s="9">
        <f t="shared" si="12"/>
        <v>0.9880000000000001</v>
      </c>
      <c r="Q37" s="4">
        <v>1.02</v>
      </c>
      <c r="S37" s="4">
        <v>5</v>
      </c>
      <c r="T37" s="4">
        <v>22.69</v>
      </c>
      <c r="U37" s="4">
        <v>20</v>
      </c>
      <c r="V37" s="9">
        <f t="shared" si="13"/>
        <v>0.86549999999999994</v>
      </c>
      <c r="W37" s="4">
        <v>1.02</v>
      </c>
      <c r="Y37" s="4">
        <v>5</v>
      </c>
      <c r="Z37" s="4">
        <v>20.84</v>
      </c>
      <c r="AA37" s="4">
        <v>20</v>
      </c>
      <c r="AB37" s="9">
        <f t="shared" si="14"/>
        <v>0.95799999999999996</v>
      </c>
      <c r="AC37" s="4">
        <v>1.04</v>
      </c>
    </row>
    <row r="38" spans="1:29" x14ac:dyDescent="0.3">
      <c r="A38" s="4">
        <v>6</v>
      </c>
      <c r="B38" s="5">
        <v>13.74</v>
      </c>
      <c r="C38" s="4">
        <v>20</v>
      </c>
      <c r="D38" s="9">
        <f t="shared" si="10"/>
        <v>0.68700000000000006</v>
      </c>
      <c r="E38" s="4">
        <v>1.01</v>
      </c>
      <c r="G38" s="4">
        <v>6</v>
      </c>
      <c r="H38" s="4">
        <v>15.92</v>
      </c>
      <c r="I38" s="4">
        <v>20</v>
      </c>
      <c r="J38" s="9">
        <f t="shared" si="11"/>
        <v>0.79600000000000004</v>
      </c>
      <c r="K38" s="4">
        <v>1.01</v>
      </c>
      <c r="M38" s="4">
        <v>6</v>
      </c>
      <c r="N38" s="4">
        <v>11.39</v>
      </c>
      <c r="O38" s="4">
        <v>20</v>
      </c>
      <c r="P38" s="9">
        <f t="shared" si="12"/>
        <v>0.56950000000000001</v>
      </c>
      <c r="Q38" s="4">
        <v>1.01</v>
      </c>
      <c r="S38" s="4">
        <v>6</v>
      </c>
      <c r="T38" s="4">
        <v>16.46</v>
      </c>
      <c r="U38" s="4">
        <v>20</v>
      </c>
      <c r="V38" s="9">
        <f t="shared" si="13"/>
        <v>0.82300000000000006</v>
      </c>
      <c r="W38" s="4">
        <v>1.01</v>
      </c>
      <c r="Y38" s="4">
        <v>6</v>
      </c>
      <c r="Z38" s="4">
        <v>11.68</v>
      </c>
      <c r="AA38" s="4">
        <v>20</v>
      </c>
      <c r="AB38" s="9">
        <f t="shared" si="14"/>
        <v>0.58399999999999996</v>
      </c>
      <c r="AC38" s="4">
        <v>1.04</v>
      </c>
    </row>
    <row r="39" spans="1:29" x14ac:dyDescent="0.3">
      <c r="A39" s="4">
        <v>7</v>
      </c>
      <c r="B39" s="5">
        <v>25.78</v>
      </c>
      <c r="C39" s="4">
        <v>20</v>
      </c>
      <c r="D39" s="9">
        <f t="shared" si="10"/>
        <v>0.71099999999999997</v>
      </c>
      <c r="E39" s="4">
        <v>1.01</v>
      </c>
      <c r="G39" s="4">
        <v>7</v>
      </c>
      <c r="H39" s="4">
        <v>19.29</v>
      </c>
      <c r="I39" s="4">
        <v>21</v>
      </c>
      <c r="J39" s="9">
        <f t="shared" si="11"/>
        <v>0.91857142857142848</v>
      </c>
      <c r="K39" s="4">
        <v>1.02</v>
      </c>
      <c r="M39" s="4">
        <v>7</v>
      </c>
      <c r="N39" s="4">
        <v>17.53</v>
      </c>
      <c r="O39" s="4">
        <v>20</v>
      </c>
      <c r="P39" s="9">
        <f t="shared" si="12"/>
        <v>0.87650000000000006</v>
      </c>
      <c r="Q39" s="4">
        <v>1.02</v>
      </c>
      <c r="S39" s="4">
        <v>7</v>
      </c>
      <c r="T39" s="4">
        <v>19.309999999999999</v>
      </c>
      <c r="U39" s="4">
        <v>21</v>
      </c>
      <c r="V39" s="9">
        <f t="shared" si="13"/>
        <v>0.91952380952380941</v>
      </c>
      <c r="W39" s="4">
        <v>1.03</v>
      </c>
      <c r="Y39" s="4">
        <v>7</v>
      </c>
      <c r="Z39" s="4">
        <v>18.16</v>
      </c>
      <c r="AA39" s="4">
        <v>20</v>
      </c>
      <c r="AB39" s="9">
        <f t="shared" si="14"/>
        <v>0.90800000000000003</v>
      </c>
      <c r="AC39" s="4">
        <v>1.02</v>
      </c>
    </row>
    <row r="40" spans="1:29" x14ac:dyDescent="0.3">
      <c r="A40" s="4">
        <v>8</v>
      </c>
      <c r="B40" s="5">
        <v>15.43</v>
      </c>
      <c r="C40" s="4">
        <v>21</v>
      </c>
      <c r="D40" s="9">
        <f t="shared" si="10"/>
        <v>0.73476190476190473</v>
      </c>
      <c r="E40" s="4">
        <v>1.01</v>
      </c>
      <c r="G40" s="4">
        <v>8</v>
      </c>
      <c r="H40" s="4">
        <v>17.52</v>
      </c>
      <c r="I40" s="4">
        <v>21</v>
      </c>
      <c r="J40" s="9">
        <f t="shared" si="11"/>
        <v>0.8342857142857143</v>
      </c>
      <c r="K40" s="4">
        <v>1.01</v>
      </c>
      <c r="M40" s="4">
        <v>8</v>
      </c>
      <c r="N40" s="4">
        <v>26.43</v>
      </c>
      <c r="O40" s="4">
        <v>19</v>
      </c>
      <c r="P40" s="9">
        <f t="shared" si="12"/>
        <v>0.60894736842105268</v>
      </c>
      <c r="Q40" s="4">
        <v>1.02</v>
      </c>
      <c r="S40" s="4">
        <v>8</v>
      </c>
      <c r="T40" s="4">
        <v>19.89</v>
      </c>
      <c r="U40" s="4">
        <v>21</v>
      </c>
      <c r="V40" s="9">
        <f t="shared" si="13"/>
        <v>0.94714285714285718</v>
      </c>
      <c r="W40" s="4">
        <v>1.02</v>
      </c>
      <c r="Y40" s="4">
        <v>8</v>
      </c>
      <c r="Z40" s="6">
        <v>26.1</v>
      </c>
      <c r="AA40" s="4">
        <v>19</v>
      </c>
      <c r="AB40" s="9">
        <f t="shared" si="14"/>
        <v>0.62631578947368416</v>
      </c>
      <c r="AC40" s="4">
        <v>1.03</v>
      </c>
    </row>
    <row r="41" spans="1:29" x14ac:dyDescent="0.3">
      <c r="A41" s="4">
        <v>9</v>
      </c>
      <c r="B41" s="5">
        <v>32.76</v>
      </c>
      <c r="C41" s="4">
        <v>21</v>
      </c>
      <c r="D41" s="9">
        <f t="shared" si="10"/>
        <v>0.44000000000000011</v>
      </c>
      <c r="E41" s="4">
        <v>1.01</v>
      </c>
      <c r="G41" s="4">
        <v>9</v>
      </c>
      <c r="H41" s="4">
        <v>19.579999999999998</v>
      </c>
      <c r="I41" s="4">
        <v>21</v>
      </c>
      <c r="J41" s="9">
        <f t="shared" si="11"/>
        <v>0.93238095238095231</v>
      </c>
      <c r="K41" s="4">
        <v>1.01</v>
      </c>
      <c r="M41" s="4">
        <v>9</v>
      </c>
      <c r="N41" s="4">
        <v>17.64</v>
      </c>
      <c r="O41" s="4">
        <v>19</v>
      </c>
      <c r="P41" s="9">
        <f t="shared" si="12"/>
        <v>0.92842105263157892</v>
      </c>
      <c r="Q41" s="4">
        <v>1.02</v>
      </c>
      <c r="S41" s="4">
        <v>9</v>
      </c>
      <c r="T41" s="4">
        <v>21.53</v>
      </c>
      <c r="U41" s="4">
        <v>21</v>
      </c>
      <c r="V41" s="9">
        <f t="shared" si="13"/>
        <v>0.97476190476190472</v>
      </c>
      <c r="W41" s="4">
        <v>1.03</v>
      </c>
      <c r="Y41" s="4">
        <v>9</v>
      </c>
      <c r="Z41" s="6">
        <v>19.899999999999999</v>
      </c>
      <c r="AA41" s="4">
        <v>19</v>
      </c>
      <c r="AB41" s="9">
        <f t="shared" si="14"/>
        <v>0.9526315789473685</v>
      </c>
      <c r="AC41" s="4">
        <v>1.03</v>
      </c>
    </row>
    <row r="42" spans="1:29" x14ac:dyDescent="0.3">
      <c r="A42" s="4">
        <v>10</v>
      </c>
      <c r="B42" s="5">
        <v>19.29</v>
      </c>
      <c r="C42" s="4">
        <v>20</v>
      </c>
      <c r="D42" s="9">
        <f t="shared" si="10"/>
        <v>0.96449999999999991</v>
      </c>
      <c r="E42" s="4">
        <v>1.02</v>
      </c>
      <c r="G42" s="4">
        <v>10</v>
      </c>
      <c r="H42" s="6">
        <v>18.170000000000002</v>
      </c>
      <c r="I42" s="4">
        <v>21</v>
      </c>
      <c r="J42" s="9">
        <f t="shared" si="11"/>
        <v>0.86523809523809536</v>
      </c>
      <c r="K42" s="4">
        <v>1.02</v>
      </c>
      <c r="M42" s="4">
        <v>10</v>
      </c>
      <c r="N42" s="6">
        <v>13.99</v>
      </c>
      <c r="O42" s="4">
        <v>20</v>
      </c>
      <c r="P42" s="9">
        <f t="shared" si="12"/>
        <v>0.69950000000000001</v>
      </c>
      <c r="Q42" s="4">
        <v>1.01</v>
      </c>
      <c r="S42" s="4">
        <v>10</v>
      </c>
      <c r="T42" s="6">
        <v>20.190000000000001</v>
      </c>
      <c r="U42" s="4">
        <v>21</v>
      </c>
      <c r="V42" s="9">
        <f t="shared" si="13"/>
        <v>0.96142857142857152</v>
      </c>
      <c r="W42" s="6">
        <v>1.04</v>
      </c>
      <c r="Y42" s="4">
        <v>10</v>
      </c>
      <c r="Z42" s="6">
        <v>16.22</v>
      </c>
      <c r="AA42" s="4">
        <v>20</v>
      </c>
      <c r="AB42" s="9">
        <f t="shared" si="14"/>
        <v>0.81099999999999994</v>
      </c>
      <c r="AC42" s="4">
        <v>1.02</v>
      </c>
    </row>
    <row r="43" spans="1:29" x14ac:dyDescent="0.3">
      <c r="A43" s="7"/>
      <c r="B43" s="8"/>
      <c r="C43" s="7"/>
      <c r="D43" s="10" t="str">
        <f>TEXT(AVERAGE(D33:D42),"0.0%")&amp; "±" &amp;TEXT(_xlfn.STDEV.S(D33:D42),"0.0%")</f>
        <v>74.1%±15.3%</v>
      </c>
      <c r="E43" s="10">
        <f>AVERAGE(E33:E42)</f>
        <v>1.0179999999999998</v>
      </c>
      <c r="J43" s="10" t="str">
        <f>TEXT(AVERAGE(J33:J42),"0.0%")&amp; "±" &amp;TEXT(_xlfn.STDEV.S(J33:J42),"0.0%")</f>
        <v>88.9%±6.7%</v>
      </c>
      <c r="K43" s="10">
        <f>AVERAGE(K33:K42)</f>
        <v>1.0109999999999997</v>
      </c>
      <c r="P43" s="10" t="str">
        <f>TEXT(AVERAGE(P33:P42),"0.0%")&amp; "±" &amp;TEXT(_xlfn.STDEV.S(P33:P42),"0.0%")</f>
        <v>83.8%±15.3%</v>
      </c>
      <c r="Q43" s="10">
        <f>AVERAGE(Q33:Q42)</f>
        <v>1.0189999999999997</v>
      </c>
      <c r="V43" s="10" t="str">
        <f>TEXT(AVERAGE(V33:V42),"0.0%")&amp; "±" &amp;TEXT(_xlfn.STDEV.S(V33:V42),"0.0%")</f>
        <v>83.9%±13.2%</v>
      </c>
      <c r="W43" s="10">
        <f>AVERAGE(W33:W42)</f>
        <v>1.0219999999999998</v>
      </c>
      <c r="AB43" s="10" t="str">
        <f>TEXT(AVERAGE(AB33:AB42),"0.0%")&amp; "±" &amp;TEXT(_xlfn.STDEV.S(AB33:AB42),"0.0%")</f>
        <v>82.6%±15.2%</v>
      </c>
      <c r="AC43" s="10">
        <f>AVERAGE(AC33:AC42)</f>
        <v>1.1089999999999998</v>
      </c>
    </row>
    <row r="44" spans="1:29" x14ac:dyDescent="0.3">
      <c r="A44" s="7"/>
      <c r="B44" s="7"/>
      <c r="C44" s="7"/>
      <c r="D44" s="7"/>
      <c r="E44" s="7"/>
    </row>
    <row r="45" spans="1:29" x14ac:dyDescent="0.3">
      <c r="A45" s="15" t="s">
        <v>8</v>
      </c>
      <c r="B45" s="15"/>
      <c r="C45" s="15"/>
      <c r="D45" s="15"/>
      <c r="E45" s="15"/>
      <c r="G45" s="16" t="s">
        <v>16</v>
      </c>
      <c r="H45" s="16"/>
      <c r="I45" s="16"/>
      <c r="J45" s="16"/>
      <c r="K45" s="16"/>
      <c r="M45" s="16" t="s">
        <v>17</v>
      </c>
      <c r="N45" s="16"/>
      <c r="O45" s="16"/>
      <c r="P45" s="16"/>
      <c r="Q45" s="16"/>
      <c r="S45" s="18" t="s">
        <v>16</v>
      </c>
      <c r="T45" s="18"/>
      <c r="U45" s="18"/>
      <c r="V45" s="18"/>
      <c r="W45" s="18"/>
      <c r="Y45" s="18" t="s">
        <v>17</v>
      </c>
      <c r="Z45" s="18"/>
      <c r="AA45" s="18"/>
      <c r="AB45" s="18"/>
      <c r="AC45" s="18"/>
    </row>
    <row r="46" spans="1:29" x14ac:dyDescent="0.3">
      <c r="A46" s="3" t="s">
        <v>0</v>
      </c>
      <c r="B46" s="3" t="s">
        <v>1</v>
      </c>
      <c r="C46" s="3" t="s">
        <v>2</v>
      </c>
      <c r="D46" s="3" t="s">
        <v>22</v>
      </c>
      <c r="E46" s="3" t="s">
        <v>3</v>
      </c>
      <c r="G46" s="3" t="s">
        <v>0</v>
      </c>
      <c r="H46" s="3" t="s">
        <v>1</v>
      </c>
      <c r="I46" s="3" t="s">
        <v>2</v>
      </c>
      <c r="J46" s="3" t="s">
        <v>22</v>
      </c>
      <c r="K46" s="3" t="s">
        <v>3</v>
      </c>
      <c r="M46" s="3" t="s">
        <v>0</v>
      </c>
      <c r="N46" s="3" t="s">
        <v>1</v>
      </c>
      <c r="O46" s="3" t="s">
        <v>2</v>
      </c>
      <c r="P46" s="3" t="s">
        <v>22</v>
      </c>
      <c r="Q46" s="3" t="s">
        <v>3</v>
      </c>
      <c r="S46" s="3" t="s">
        <v>0</v>
      </c>
      <c r="T46" s="3" t="s">
        <v>1</v>
      </c>
      <c r="U46" s="3" t="s">
        <v>2</v>
      </c>
      <c r="V46" s="3" t="s">
        <v>22</v>
      </c>
      <c r="W46" s="3" t="s">
        <v>3</v>
      </c>
      <c r="Y46" s="3" t="s">
        <v>0</v>
      </c>
      <c r="Z46" s="3" t="s">
        <v>1</v>
      </c>
      <c r="AA46" s="3" t="s">
        <v>2</v>
      </c>
      <c r="AB46" s="3" t="s">
        <v>22</v>
      </c>
      <c r="AC46" s="3" t="s">
        <v>3</v>
      </c>
    </row>
    <row r="47" spans="1:29" x14ac:dyDescent="0.3">
      <c r="A47" s="4">
        <v>1</v>
      </c>
      <c r="B47" s="5">
        <v>20.420000000000002</v>
      </c>
      <c r="C47" s="4">
        <v>20</v>
      </c>
      <c r="D47" s="9">
        <f>(C47-ABS(C47-B47))/C47</f>
        <v>0.97899999999999987</v>
      </c>
      <c r="E47" s="4">
        <v>2.68</v>
      </c>
      <c r="G47" s="4">
        <v>1</v>
      </c>
      <c r="H47" s="4">
        <v>6.07</v>
      </c>
      <c r="I47" s="4">
        <v>20</v>
      </c>
      <c r="J47" s="9">
        <f>(I47-ABS(I47-H47))/I47</f>
        <v>0.30349999999999999</v>
      </c>
      <c r="K47" s="4">
        <v>1.02</v>
      </c>
      <c r="M47" s="4">
        <v>1</v>
      </c>
      <c r="N47" s="4">
        <v>82.56</v>
      </c>
      <c r="O47" s="4">
        <v>20</v>
      </c>
      <c r="P47" s="9">
        <f>(O47-ABS(O47-N47))/O47</f>
        <v>-2.1280000000000001</v>
      </c>
      <c r="Q47" s="4">
        <v>1.78</v>
      </c>
      <c r="S47" s="4">
        <v>1</v>
      </c>
      <c r="T47" s="4">
        <v>8.4499999999999993</v>
      </c>
      <c r="U47" s="4">
        <v>20</v>
      </c>
      <c r="V47" s="9">
        <f>(U47-ABS(U47-T47))/U47</f>
        <v>0.42249999999999999</v>
      </c>
      <c r="W47" s="4">
        <v>1.05</v>
      </c>
      <c r="Y47" s="4">
        <v>1</v>
      </c>
      <c r="Z47" s="4">
        <v>83.72</v>
      </c>
      <c r="AA47" s="4">
        <v>20</v>
      </c>
      <c r="AB47" s="9">
        <f>(AA47-ABS(AA47-Z47))/AA47</f>
        <v>-2.1859999999999999</v>
      </c>
      <c r="AC47" s="4">
        <v>1.93</v>
      </c>
    </row>
    <row r="48" spans="1:29" x14ac:dyDescent="0.3">
      <c r="A48" s="4">
        <v>2</v>
      </c>
      <c r="B48" s="19">
        <v>22.3</v>
      </c>
      <c r="C48" s="4">
        <v>22</v>
      </c>
      <c r="D48" s="9">
        <f t="shared" ref="D48:D56" si="15">(C48-ABS(C48-B48))/C48</f>
        <v>0.98636363636363633</v>
      </c>
      <c r="E48" s="4">
        <v>1.73</v>
      </c>
      <c r="G48" s="4">
        <v>2</v>
      </c>
      <c r="H48" s="6">
        <v>6.1</v>
      </c>
      <c r="I48" s="4">
        <v>22</v>
      </c>
      <c r="J48" s="9">
        <f t="shared" ref="J48:J56" si="16">(I48-ABS(I48-H48))/I48</f>
        <v>0.27727272727272728</v>
      </c>
      <c r="K48" s="4">
        <v>1.02</v>
      </c>
      <c r="M48" s="4">
        <v>2</v>
      </c>
      <c r="N48" s="4">
        <v>61.41</v>
      </c>
      <c r="O48" s="4">
        <v>21</v>
      </c>
      <c r="P48" s="9">
        <f t="shared" ref="P48:P56" si="17">(O48-ABS(O48-N48))/O48</f>
        <v>-0.92428571428571416</v>
      </c>
      <c r="Q48" s="4">
        <v>2.46</v>
      </c>
      <c r="S48" s="4">
        <v>2</v>
      </c>
      <c r="T48" s="4">
        <v>6.83</v>
      </c>
      <c r="U48" s="4">
        <v>22</v>
      </c>
      <c r="V48" s="9">
        <f t="shared" ref="V48:V56" si="18">(U48-ABS(U48-T48))/U48</f>
        <v>0.31045454545454548</v>
      </c>
      <c r="W48" s="4">
        <v>1.06</v>
      </c>
      <c r="Y48" s="4">
        <v>2</v>
      </c>
      <c r="Z48" s="4">
        <v>58.81</v>
      </c>
      <c r="AA48" s="4">
        <v>21</v>
      </c>
      <c r="AB48" s="9">
        <f t="shared" ref="AB48:AB56" si="19">(AA48-ABS(AA48-Z48))/AA48</f>
        <v>-0.80047619047619056</v>
      </c>
      <c r="AC48" s="4">
        <v>2.08</v>
      </c>
    </row>
    <row r="49" spans="1:29" x14ac:dyDescent="0.3">
      <c r="A49" s="4">
        <v>3</v>
      </c>
      <c r="B49" s="5">
        <v>20.67</v>
      </c>
      <c r="C49" s="4">
        <v>21</v>
      </c>
      <c r="D49" s="9">
        <f t="shared" si="15"/>
        <v>0.98428571428571432</v>
      </c>
      <c r="E49" s="4">
        <v>2.2400000000000002</v>
      </c>
      <c r="G49" s="4">
        <v>3</v>
      </c>
      <c r="H49" s="4">
        <v>6.32</v>
      </c>
      <c r="I49" s="4">
        <v>21</v>
      </c>
      <c r="J49" s="9">
        <f t="shared" si="16"/>
        <v>0.30095238095238097</v>
      </c>
      <c r="K49" s="4">
        <v>1.03</v>
      </c>
      <c r="M49" s="4">
        <v>3</v>
      </c>
      <c r="N49" s="6">
        <v>59.9</v>
      </c>
      <c r="O49" s="4">
        <v>21</v>
      </c>
      <c r="P49" s="9">
        <f t="shared" si="17"/>
        <v>-0.85238095238095235</v>
      </c>
      <c r="Q49" s="4">
        <v>2.17</v>
      </c>
      <c r="S49" s="4">
        <v>3</v>
      </c>
      <c r="T49" s="4">
        <v>6.85</v>
      </c>
      <c r="U49" s="4">
        <v>21</v>
      </c>
      <c r="V49" s="9">
        <f t="shared" si="18"/>
        <v>0.3261904761904762</v>
      </c>
      <c r="W49" s="4">
        <v>1.07</v>
      </c>
      <c r="Y49" s="4">
        <v>3</v>
      </c>
      <c r="Z49" s="4">
        <v>61.02</v>
      </c>
      <c r="AA49" s="4">
        <v>21</v>
      </c>
      <c r="AB49" s="9">
        <f t="shared" si="19"/>
        <v>-0.90571428571428592</v>
      </c>
      <c r="AC49" s="6">
        <v>2</v>
      </c>
    </row>
    <row r="50" spans="1:29" x14ac:dyDescent="0.3">
      <c r="A50" s="4">
        <v>4</v>
      </c>
      <c r="B50" s="5">
        <v>23.14</v>
      </c>
      <c r="C50" s="4">
        <v>21</v>
      </c>
      <c r="D50" s="9">
        <f t="shared" si="15"/>
        <v>0.89809523809523806</v>
      </c>
      <c r="E50" s="4">
        <v>2.25</v>
      </c>
      <c r="G50" s="4">
        <v>4</v>
      </c>
      <c r="H50" s="6">
        <v>6.3</v>
      </c>
      <c r="I50" s="4">
        <v>21</v>
      </c>
      <c r="J50" s="9">
        <f t="shared" si="16"/>
        <v>0.30000000000000004</v>
      </c>
      <c r="K50" s="4">
        <v>1.04</v>
      </c>
      <c r="M50" s="4">
        <v>4</v>
      </c>
      <c r="N50" s="4">
        <v>57.86</v>
      </c>
      <c r="O50" s="4">
        <v>19</v>
      </c>
      <c r="P50" s="9">
        <f t="shared" si="17"/>
        <v>-1.0452631578947369</v>
      </c>
      <c r="Q50" s="4">
        <v>2.41</v>
      </c>
      <c r="S50" s="4">
        <v>4</v>
      </c>
      <c r="T50" s="4">
        <v>6.53</v>
      </c>
      <c r="U50" s="4">
        <v>21</v>
      </c>
      <c r="V50" s="9">
        <f t="shared" si="18"/>
        <v>0.31095238095238098</v>
      </c>
      <c r="W50" s="4">
        <v>1.59</v>
      </c>
      <c r="Y50" s="4">
        <v>4</v>
      </c>
      <c r="Z50" s="4">
        <v>60.18</v>
      </c>
      <c r="AA50" s="4">
        <v>19</v>
      </c>
      <c r="AB50" s="9">
        <f t="shared" si="19"/>
        <v>-1.1673684210526316</v>
      </c>
      <c r="AC50" s="4">
        <v>2.35</v>
      </c>
    </row>
    <row r="51" spans="1:29" x14ac:dyDescent="0.3">
      <c r="A51" s="4">
        <v>5</v>
      </c>
      <c r="B51" s="5">
        <v>16.440000000000001</v>
      </c>
      <c r="C51" s="4">
        <v>20</v>
      </c>
      <c r="D51" s="9">
        <f t="shared" si="15"/>
        <v>0.82200000000000006</v>
      </c>
      <c r="E51" s="4">
        <v>2.59</v>
      </c>
      <c r="G51" s="4">
        <v>5</v>
      </c>
      <c r="H51" s="4">
        <v>5.12</v>
      </c>
      <c r="I51" s="4">
        <v>20</v>
      </c>
      <c r="J51" s="9">
        <f t="shared" si="16"/>
        <v>0.25600000000000006</v>
      </c>
      <c r="K51" s="4">
        <v>1.03</v>
      </c>
      <c r="M51" s="4">
        <v>5</v>
      </c>
      <c r="N51" s="4">
        <v>63.35</v>
      </c>
      <c r="O51" s="4">
        <v>20</v>
      </c>
      <c r="P51" s="9">
        <f t="shared" si="17"/>
        <v>-1.1675</v>
      </c>
      <c r="Q51" s="4">
        <v>1.88</v>
      </c>
      <c r="S51" s="4">
        <v>5</v>
      </c>
      <c r="T51" s="4">
        <v>5.97</v>
      </c>
      <c r="U51" s="4">
        <v>20</v>
      </c>
      <c r="V51" s="9">
        <f t="shared" si="18"/>
        <v>0.29849999999999993</v>
      </c>
      <c r="W51" s="4">
        <v>1.0900000000000001</v>
      </c>
      <c r="Y51" s="4">
        <v>5</v>
      </c>
      <c r="Z51" s="4">
        <v>63.54</v>
      </c>
      <c r="AA51" s="4">
        <v>20</v>
      </c>
      <c r="AB51" s="9">
        <f t="shared" si="19"/>
        <v>-1.177</v>
      </c>
      <c r="AC51" s="4">
        <v>1.92</v>
      </c>
    </row>
    <row r="52" spans="1:29" x14ac:dyDescent="0.3">
      <c r="A52" s="4">
        <v>6</v>
      </c>
      <c r="B52" s="5">
        <v>21.31</v>
      </c>
      <c r="C52" s="4">
        <v>21</v>
      </c>
      <c r="D52" s="9">
        <f t="shared" si="15"/>
        <v>0.98523809523809525</v>
      </c>
      <c r="E52" s="4">
        <v>2.68</v>
      </c>
      <c r="G52" s="4">
        <v>6</v>
      </c>
      <c r="H52" s="4">
        <v>6.46</v>
      </c>
      <c r="I52" s="4">
        <v>21</v>
      </c>
      <c r="J52" s="9">
        <f t="shared" si="16"/>
        <v>0.30761904761904768</v>
      </c>
      <c r="K52" s="4">
        <v>1.03</v>
      </c>
      <c r="M52" s="4">
        <v>6</v>
      </c>
      <c r="N52" s="4">
        <v>43.58</v>
      </c>
      <c r="O52" s="4">
        <v>20</v>
      </c>
      <c r="P52" s="9">
        <f t="shared" si="17"/>
        <v>-0.17899999999999991</v>
      </c>
      <c r="Q52" s="4">
        <v>2.2200000000000002</v>
      </c>
      <c r="S52" s="4">
        <v>6</v>
      </c>
      <c r="T52" s="4">
        <v>7.47</v>
      </c>
      <c r="U52" s="4">
        <v>21</v>
      </c>
      <c r="V52" s="9">
        <f t="shared" si="18"/>
        <v>0.35571428571428565</v>
      </c>
      <c r="W52" s="4">
        <v>1.08</v>
      </c>
      <c r="Y52" s="4">
        <v>6</v>
      </c>
      <c r="Z52" s="4">
        <v>42.49</v>
      </c>
      <c r="AA52" s="4">
        <v>20</v>
      </c>
      <c r="AB52" s="9">
        <f t="shared" si="19"/>
        <v>-0.1245000000000001</v>
      </c>
      <c r="AC52" s="4">
        <v>2.54</v>
      </c>
    </row>
    <row r="53" spans="1:29" x14ac:dyDescent="0.3">
      <c r="A53" s="4">
        <v>7</v>
      </c>
      <c r="B53" s="5">
        <v>18.39</v>
      </c>
      <c r="C53" s="4">
        <v>19</v>
      </c>
      <c r="D53" s="9">
        <f t="shared" si="15"/>
        <v>0.96789473684210525</v>
      </c>
      <c r="E53" s="4">
        <v>2.74</v>
      </c>
      <c r="G53" s="4">
        <v>7</v>
      </c>
      <c r="H53" s="4">
        <v>5.99</v>
      </c>
      <c r="I53" s="4">
        <v>19</v>
      </c>
      <c r="J53" s="9">
        <f t="shared" si="16"/>
        <v>0.31526315789473686</v>
      </c>
      <c r="K53" s="4">
        <v>1.03</v>
      </c>
      <c r="M53" s="4">
        <v>7</v>
      </c>
      <c r="N53" s="4">
        <v>49.34</v>
      </c>
      <c r="O53" s="4">
        <v>21</v>
      </c>
      <c r="P53" s="9">
        <f t="shared" si="17"/>
        <v>-0.34952380952380968</v>
      </c>
      <c r="Q53" s="6">
        <v>2.2999999999999998</v>
      </c>
      <c r="S53" s="4">
        <v>7</v>
      </c>
      <c r="T53" s="4">
        <v>6.83</v>
      </c>
      <c r="U53" s="4">
        <v>19</v>
      </c>
      <c r="V53" s="9">
        <f t="shared" si="18"/>
        <v>0.35947368421052633</v>
      </c>
      <c r="W53" s="4">
        <v>1.06</v>
      </c>
      <c r="Y53" s="4">
        <v>7</v>
      </c>
      <c r="Z53" s="4">
        <v>47.89</v>
      </c>
      <c r="AA53" s="4">
        <v>21</v>
      </c>
      <c r="AB53" s="9">
        <f t="shared" si="19"/>
        <v>-0.28047619047619049</v>
      </c>
      <c r="AC53" s="4">
        <v>2.4300000000000002</v>
      </c>
    </row>
    <row r="54" spans="1:29" x14ac:dyDescent="0.3">
      <c r="A54" s="4">
        <v>8</v>
      </c>
      <c r="B54" s="5">
        <v>19.97</v>
      </c>
      <c r="C54" s="4">
        <v>20</v>
      </c>
      <c r="D54" s="9">
        <f t="shared" si="15"/>
        <v>0.99849999999999994</v>
      </c>
      <c r="E54" s="4">
        <v>2.17</v>
      </c>
      <c r="G54" s="4">
        <v>8</v>
      </c>
      <c r="H54" s="4">
        <v>5.13</v>
      </c>
      <c r="I54" s="4">
        <v>20</v>
      </c>
      <c r="J54" s="9">
        <f t="shared" si="16"/>
        <v>0.25649999999999995</v>
      </c>
      <c r="K54" s="4">
        <v>1.05</v>
      </c>
      <c r="M54" s="4">
        <v>8</v>
      </c>
      <c r="N54" s="4">
        <v>42.58</v>
      </c>
      <c r="O54" s="4">
        <v>21</v>
      </c>
      <c r="P54" s="9">
        <f t="shared" si="17"/>
        <v>-2.7619047619047536E-2</v>
      </c>
      <c r="Q54" s="4">
        <v>2.39</v>
      </c>
      <c r="S54" s="4">
        <v>8</v>
      </c>
      <c r="T54" s="4">
        <v>6.51</v>
      </c>
      <c r="U54" s="4">
        <v>20</v>
      </c>
      <c r="V54" s="9">
        <f t="shared" si="18"/>
        <v>0.32550000000000001</v>
      </c>
      <c r="W54" s="4">
        <v>1.08</v>
      </c>
      <c r="Y54" s="4">
        <v>8</v>
      </c>
      <c r="Z54" s="4">
        <v>44.43</v>
      </c>
      <c r="AA54" s="4">
        <v>21</v>
      </c>
      <c r="AB54" s="9">
        <f t="shared" si="19"/>
        <v>-0.1157142857142857</v>
      </c>
      <c r="AC54" s="4">
        <v>2.21</v>
      </c>
    </row>
    <row r="55" spans="1:29" x14ac:dyDescent="0.3">
      <c r="A55" s="4">
        <v>9</v>
      </c>
      <c r="B55" s="5">
        <v>18.72</v>
      </c>
      <c r="C55" s="4">
        <v>20</v>
      </c>
      <c r="D55" s="9">
        <f t="shared" si="15"/>
        <v>0.93599999999999994</v>
      </c>
      <c r="E55" s="4">
        <v>2.77</v>
      </c>
      <c r="G55" s="4">
        <v>9</v>
      </c>
      <c r="H55" s="4">
        <v>5.68</v>
      </c>
      <c r="I55" s="4">
        <v>20</v>
      </c>
      <c r="J55" s="9">
        <f t="shared" si="16"/>
        <v>0.28399999999999997</v>
      </c>
      <c r="K55" s="4">
        <v>1.04</v>
      </c>
      <c r="M55" s="4">
        <v>9</v>
      </c>
      <c r="N55" s="4">
        <v>75.27</v>
      </c>
      <c r="O55" s="4">
        <v>21</v>
      </c>
      <c r="P55" s="9">
        <f t="shared" si="17"/>
        <v>-1.5842857142857141</v>
      </c>
      <c r="Q55" s="4">
        <v>2.0699999999999998</v>
      </c>
      <c r="S55" s="4">
        <v>9</v>
      </c>
      <c r="T55" s="4">
        <v>6.41</v>
      </c>
      <c r="U55" s="4">
        <v>20</v>
      </c>
      <c r="V55" s="9">
        <f t="shared" si="18"/>
        <v>0.32050000000000001</v>
      </c>
      <c r="W55" s="4">
        <v>1.08</v>
      </c>
      <c r="Y55" s="4">
        <v>9</v>
      </c>
      <c r="Z55" s="4">
        <v>72.569999999999993</v>
      </c>
      <c r="AA55" s="4">
        <v>21</v>
      </c>
      <c r="AB55" s="9">
        <f t="shared" si="19"/>
        <v>-1.4557142857142853</v>
      </c>
      <c r="AC55" s="4">
        <v>2.2200000000000002</v>
      </c>
    </row>
    <row r="56" spans="1:29" x14ac:dyDescent="0.3">
      <c r="A56" s="4">
        <v>10</v>
      </c>
      <c r="B56" s="5">
        <v>22.05</v>
      </c>
      <c r="C56" s="4">
        <v>20</v>
      </c>
      <c r="D56" s="9">
        <f t="shared" si="15"/>
        <v>0.89749999999999996</v>
      </c>
      <c r="E56" s="4">
        <v>2.2400000000000002</v>
      </c>
      <c r="G56" s="4">
        <v>10</v>
      </c>
      <c r="H56" s="6">
        <v>5.9</v>
      </c>
      <c r="I56" s="4">
        <v>20</v>
      </c>
      <c r="J56" s="9">
        <f t="shared" si="16"/>
        <v>0.29500000000000004</v>
      </c>
      <c r="K56" s="4">
        <v>1.02</v>
      </c>
      <c r="M56" s="4">
        <v>10</v>
      </c>
      <c r="N56" s="6">
        <v>61.81</v>
      </c>
      <c r="O56" s="4">
        <v>21</v>
      </c>
      <c r="P56" s="9">
        <f t="shared" si="17"/>
        <v>-0.94333333333333347</v>
      </c>
      <c r="Q56" s="4">
        <v>2.08</v>
      </c>
      <c r="S56" s="4">
        <v>10</v>
      </c>
      <c r="T56" s="6">
        <v>6.82</v>
      </c>
      <c r="U56" s="4">
        <v>20</v>
      </c>
      <c r="V56" s="9">
        <f t="shared" si="18"/>
        <v>0.34100000000000003</v>
      </c>
      <c r="W56" s="4">
        <v>1.04</v>
      </c>
      <c r="Y56" s="4">
        <v>10</v>
      </c>
      <c r="Z56" s="6">
        <v>62.23</v>
      </c>
      <c r="AA56" s="4">
        <v>21</v>
      </c>
      <c r="AB56" s="9">
        <f t="shared" si="19"/>
        <v>-0.96333333333333315</v>
      </c>
      <c r="AC56" s="4">
        <v>2.06</v>
      </c>
    </row>
    <row r="57" spans="1:29" x14ac:dyDescent="0.3">
      <c r="A57" s="7"/>
      <c r="B57" s="7"/>
      <c r="C57" s="7"/>
      <c r="D57" s="10" t="str">
        <f>TEXT(AVERAGE(D47:D56),"0.0%")&amp; "±" &amp;TEXT(_xlfn.STDEV.S(D47:D56),"0.0%")</f>
        <v>94.5%±5.7%</v>
      </c>
      <c r="E57" s="10">
        <f>AVERAGE(E47:E56)</f>
        <v>2.4089999999999998</v>
      </c>
      <c r="J57" s="10" t="str">
        <f>TEXT(AVERAGE(J47:J56),"0.0%")&amp; "±" &amp;TEXT(_xlfn.STDEV.S(J47:J56),"0.0%")</f>
        <v>29.0%±2.1%</v>
      </c>
      <c r="K57" s="10">
        <f>AVERAGE(K47:K56)</f>
        <v>1.0310000000000001</v>
      </c>
      <c r="P57" s="10" t="str">
        <f>TEXT(AVERAGE(P47:P56),"0.0%")&amp; "±" &amp;TEXT(_xlfn.STDEV.S(P47:P56),"0.0%")</f>
        <v>-92.0%±63.7%</v>
      </c>
      <c r="Q57" s="10">
        <f>AVERAGE(Q47:Q56)</f>
        <v>2.1759999999999997</v>
      </c>
      <c r="V57" s="10" t="str">
        <f>TEXT(AVERAGE(V47:V56),"0.0%")&amp; "±" &amp;TEXT(_xlfn.STDEV.S(V47:V56),"0.0%")</f>
        <v>33.7%±3.6%</v>
      </c>
      <c r="W57" s="10">
        <f>AVERAGE(W47:W56)</f>
        <v>1.1199999999999999</v>
      </c>
      <c r="AB57" s="10" t="str">
        <f>TEXT(AVERAGE(AB47:AB56),"0.0%")&amp; "±" &amp;TEXT(_xlfn.STDEV.S(AB47:AB56),"0.0%")</f>
        <v>-91.8%±64.3%</v>
      </c>
      <c r="AC57" s="10">
        <f>AVERAGE(AC47:AC56)</f>
        <v>2.1739999999999999</v>
      </c>
    </row>
    <row r="58" spans="1:29" x14ac:dyDescent="0.3">
      <c r="A58" s="7"/>
      <c r="B58" s="7"/>
      <c r="C58" s="7"/>
      <c r="D58" s="7"/>
      <c r="E58" s="7"/>
    </row>
    <row r="59" spans="1:29" x14ac:dyDescent="0.3">
      <c r="A59" s="15" t="s">
        <v>9</v>
      </c>
      <c r="B59" s="15"/>
      <c r="C59" s="15"/>
      <c r="D59" s="15"/>
      <c r="E59" s="15"/>
      <c r="G59" s="16" t="s">
        <v>18</v>
      </c>
      <c r="H59" s="16"/>
      <c r="I59" s="16"/>
      <c r="J59" s="16"/>
      <c r="K59" s="16"/>
      <c r="M59" s="16" t="s">
        <v>19</v>
      </c>
      <c r="N59" s="16"/>
      <c r="O59" s="16"/>
      <c r="P59" s="16"/>
      <c r="Q59" s="16"/>
      <c r="S59" s="18" t="s">
        <v>18</v>
      </c>
      <c r="T59" s="18"/>
      <c r="U59" s="18"/>
      <c r="V59" s="18"/>
      <c r="W59" s="18"/>
      <c r="Y59" s="18" t="s">
        <v>19</v>
      </c>
      <c r="Z59" s="18"/>
      <c r="AA59" s="18"/>
      <c r="AB59" s="18"/>
      <c r="AC59" s="18"/>
    </row>
    <row r="60" spans="1:29" x14ac:dyDescent="0.3">
      <c r="A60" s="3" t="s">
        <v>0</v>
      </c>
      <c r="B60" s="3" t="s">
        <v>1</v>
      </c>
      <c r="C60" s="3" t="s">
        <v>2</v>
      </c>
      <c r="D60" s="3" t="s">
        <v>22</v>
      </c>
      <c r="E60" s="3" t="s">
        <v>3</v>
      </c>
      <c r="G60" s="3" t="s">
        <v>0</v>
      </c>
      <c r="H60" s="3" t="s">
        <v>1</v>
      </c>
      <c r="I60" s="3" t="s">
        <v>2</v>
      </c>
      <c r="J60" s="3" t="s">
        <v>22</v>
      </c>
      <c r="K60" s="3" t="s">
        <v>3</v>
      </c>
      <c r="M60" s="3" t="s">
        <v>0</v>
      </c>
      <c r="N60" s="3" t="s">
        <v>1</v>
      </c>
      <c r="O60" s="3" t="s">
        <v>2</v>
      </c>
      <c r="P60" s="3" t="s">
        <v>22</v>
      </c>
      <c r="Q60" s="3" t="s">
        <v>3</v>
      </c>
      <c r="S60" s="3" t="s">
        <v>0</v>
      </c>
      <c r="T60" s="3" t="s">
        <v>1</v>
      </c>
      <c r="U60" s="3" t="s">
        <v>2</v>
      </c>
      <c r="V60" s="3" t="s">
        <v>22</v>
      </c>
      <c r="W60" s="3" t="s">
        <v>3</v>
      </c>
      <c r="Y60" s="3" t="s">
        <v>0</v>
      </c>
      <c r="Z60" s="3" t="s">
        <v>1</v>
      </c>
      <c r="AA60" s="3" t="s">
        <v>2</v>
      </c>
      <c r="AB60" s="3" t="s">
        <v>22</v>
      </c>
      <c r="AC60" s="3" t="s">
        <v>3</v>
      </c>
    </row>
    <row r="61" spans="1:29" x14ac:dyDescent="0.3">
      <c r="A61" s="4">
        <v>1</v>
      </c>
      <c r="B61" s="5">
        <v>166.7</v>
      </c>
      <c r="C61" s="5">
        <v>165</v>
      </c>
      <c r="D61" s="9">
        <f>(C61-ABS(C61-B61))/C61</f>
        <v>0.98969696969696974</v>
      </c>
      <c r="E61" s="4">
        <v>1.22</v>
      </c>
      <c r="G61" s="4">
        <v>1</v>
      </c>
      <c r="H61" s="4">
        <v>9.6300000000000008</v>
      </c>
      <c r="I61" s="4">
        <v>20</v>
      </c>
      <c r="J61" s="9">
        <f>(I61-ABS(I61-H61))/I61</f>
        <v>0.48150000000000004</v>
      </c>
      <c r="K61" s="4">
        <v>1.02</v>
      </c>
      <c r="M61" s="4">
        <v>1</v>
      </c>
      <c r="N61" s="4">
        <v>46.24</v>
      </c>
      <c r="O61" s="4">
        <v>21</v>
      </c>
      <c r="P61" s="9">
        <f>(O61-ABS(O61-N61))/O61</f>
        <v>-0.201904761904762</v>
      </c>
      <c r="Q61" s="4">
        <v>2.02</v>
      </c>
      <c r="S61" s="4">
        <v>1</v>
      </c>
      <c r="T61" s="4">
        <v>9.34</v>
      </c>
      <c r="U61" s="4">
        <v>20</v>
      </c>
      <c r="V61" s="9">
        <f>(U61-ABS(U61-T61))/U61</f>
        <v>0.46699999999999997</v>
      </c>
      <c r="W61" s="4">
        <v>1.02</v>
      </c>
      <c r="Y61" s="4">
        <v>1</v>
      </c>
      <c r="Z61" s="4">
        <v>49.57</v>
      </c>
      <c r="AA61" s="4">
        <v>21</v>
      </c>
      <c r="AB61" s="9">
        <f>(AA61-ABS(AA61-Z61))/AA61</f>
        <v>-0.36047619047619051</v>
      </c>
      <c r="AC61" s="4">
        <v>2.14</v>
      </c>
    </row>
    <row r="62" spans="1:29" x14ac:dyDescent="0.3">
      <c r="A62" s="4">
        <v>2</v>
      </c>
      <c r="B62" s="5">
        <v>173</v>
      </c>
      <c r="C62" s="5">
        <v>158</v>
      </c>
      <c r="D62" s="9">
        <f t="shared" ref="D62:D70" si="20">(C62-ABS(C62-B62))/C62</f>
        <v>0.90506329113924056</v>
      </c>
      <c r="E62" s="4">
        <v>1.19</v>
      </c>
      <c r="G62" s="4">
        <v>2</v>
      </c>
      <c r="H62" s="4">
        <v>8.4700000000000006</v>
      </c>
      <c r="I62" s="4">
        <v>22</v>
      </c>
      <c r="J62" s="9">
        <f t="shared" ref="J62:J70" si="21">(I62-ABS(I62-H62))/I62</f>
        <v>0.38500000000000001</v>
      </c>
      <c r="K62" s="4">
        <v>1.01</v>
      </c>
      <c r="M62" s="4">
        <v>2</v>
      </c>
      <c r="N62" s="4">
        <v>65.069999999999993</v>
      </c>
      <c r="O62" s="4">
        <v>19</v>
      </c>
      <c r="P62" s="9">
        <f t="shared" ref="P62:P70" si="22">(O62-ABS(O62-N62))/O62</f>
        <v>-1.4247368421052629</v>
      </c>
      <c r="Q62" s="4">
        <v>2.21</v>
      </c>
      <c r="S62" s="4">
        <v>2</v>
      </c>
      <c r="T62" s="4">
        <v>8.7100000000000009</v>
      </c>
      <c r="U62" s="4">
        <v>22</v>
      </c>
      <c r="V62" s="9">
        <f t="shared" ref="V62:V70" si="23">(U62-ABS(U62-T62))/U62</f>
        <v>0.39590909090909093</v>
      </c>
      <c r="W62" s="4">
        <v>1.02</v>
      </c>
      <c r="Y62" s="4">
        <v>2</v>
      </c>
      <c r="Z62" s="4">
        <v>58.42</v>
      </c>
      <c r="AA62" s="4">
        <v>19</v>
      </c>
      <c r="AB62" s="9">
        <f t="shared" ref="AB62:AB70" si="24">(AA62-ABS(AA62-Z62))/AA62</f>
        <v>-1.0747368421052632</v>
      </c>
      <c r="AC62" s="4">
        <v>1.95</v>
      </c>
    </row>
    <row r="63" spans="1:29" x14ac:dyDescent="0.3">
      <c r="A63" s="4">
        <v>3</v>
      </c>
      <c r="B63" s="5">
        <v>165</v>
      </c>
      <c r="C63" s="5">
        <v>174</v>
      </c>
      <c r="D63" s="9">
        <f t="shared" si="20"/>
        <v>0.94827586206896552</v>
      </c>
      <c r="E63" s="4">
        <v>1.23</v>
      </c>
      <c r="G63" s="4">
        <v>3</v>
      </c>
      <c r="H63" s="4">
        <v>9.3800000000000008</v>
      </c>
      <c r="I63" s="4">
        <v>21</v>
      </c>
      <c r="J63" s="9">
        <f t="shared" si="21"/>
        <v>0.44666666666666671</v>
      </c>
      <c r="K63" s="4">
        <v>1.01</v>
      </c>
      <c r="M63" s="4">
        <v>3</v>
      </c>
      <c r="N63" s="4">
        <v>69.25</v>
      </c>
      <c r="O63" s="4">
        <v>21</v>
      </c>
      <c r="P63" s="9">
        <f t="shared" si="22"/>
        <v>-1.2976190476190477</v>
      </c>
      <c r="Q63" s="4">
        <v>1.99</v>
      </c>
      <c r="S63" s="4">
        <v>3</v>
      </c>
      <c r="T63" s="4">
        <v>9.34</v>
      </c>
      <c r="U63" s="4">
        <v>21</v>
      </c>
      <c r="V63" s="9">
        <f t="shared" si="23"/>
        <v>0.44476190476190475</v>
      </c>
      <c r="W63" s="4">
        <v>1.01</v>
      </c>
      <c r="Y63" s="4">
        <v>3</v>
      </c>
      <c r="Z63" s="4">
        <v>67.3</v>
      </c>
      <c r="AA63" s="4">
        <v>21</v>
      </c>
      <c r="AB63" s="9">
        <f t="shared" si="24"/>
        <v>-1.2047619047619047</v>
      </c>
      <c r="AC63" s="4">
        <v>1.96</v>
      </c>
    </row>
    <row r="64" spans="1:29" x14ac:dyDescent="0.3">
      <c r="A64" s="4">
        <v>4</v>
      </c>
      <c r="B64" s="5">
        <v>171</v>
      </c>
      <c r="C64" s="5">
        <v>163</v>
      </c>
      <c r="D64" s="9">
        <f t="shared" si="20"/>
        <v>0.95092024539877296</v>
      </c>
      <c r="E64" s="4">
        <v>1.3</v>
      </c>
      <c r="G64" s="4">
        <v>4</v>
      </c>
      <c r="H64" s="4">
        <v>9.25</v>
      </c>
      <c r="I64" s="4">
        <v>21</v>
      </c>
      <c r="J64" s="9">
        <f t="shared" si="21"/>
        <v>0.44047619047619047</v>
      </c>
      <c r="K64" s="4">
        <v>1.01</v>
      </c>
      <c r="M64" s="4">
        <v>4</v>
      </c>
      <c r="N64" s="4">
        <v>63.47</v>
      </c>
      <c r="O64" s="4">
        <v>20</v>
      </c>
      <c r="P64" s="9">
        <f t="shared" si="22"/>
        <v>-1.1735</v>
      </c>
      <c r="Q64" s="4">
        <v>2.38</v>
      </c>
      <c r="S64" s="4">
        <v>4</v>
      </c>
      <c r="T64" s="4">
        <v>9.5399999999999991</v>
      </c>
      <c r="U64" s="4">
        <v>21</v>
      </c>
      <c r="V64" s="9">
        <f t="shared" si="23"/>
        <v>0.45428571428571424</v>
      </c>
      <c r="W64" s="4">
        <v>1.02</v>
      </c>
      <c r="Y64" s="4">
        <v>4</v>
      </c>
      <c r="Z64" s="4">
        <v>65.41</v>
      </c>
      <c r="AA64" s="4">
        <v>20</v>
      </c>
      <c r="AB64" s="9">
        <f t="shared" si="24"/>
        <v>-1.2704999999999997</v>
      </c>
      <c r="AC64" s="4">
        <v>2.34</v>
      </c>
    </row>
    <row r="65" spans="1:29" x14ac:dyDescent="0.3">
      <c r="A65" s="4">
        <v>5</v>
      </c>
      <c r="B65" s="5">
        <v>152.6</v>
      </c>
      <c r="C65" s="5">
        <v>157</v>
      </c>
      <c r="D65" s="9">
        <f t="shared" si="20"/>
        <v>0.97197452229299364</v>
      </c>
      <c r="E65" s="4">
        <v>1.35</v>
      </c>
      <c r="G65" s="4">
        <v>5</v>
      </c>
      <c r="H65" s="4">
        <v>7.79</v>
      </c>
      <c r="I65" s="4">
        <v>20</v>
      </c>
      <c r="J65" s="9">
        <f t="shared" si="21"/>
        <v>0.38949999999999996</v>
      </c>
      <c r="K65" s="4">
        <v>1.03</v>
      </c>
      <c r="M65" s="4">
        <v>5</v>
      </c>
      <c r="N65" s="4">
        <v>52.16</v>
      </c>
      <c r="O65" s="4">
        <v>20</v>
      </c>
      <c r="P65" s="9">
        <f t="shared" si="22"/>
        <v>-0.60799999999999987</v>
      </c>
      <c r="Q65" s="4">
        <v>2.09</v>
      </c>
      <c r="S65" s="4">
        <v>5</v>
      </c>
      <c r="T65" s="4">
        <v>7.35</v>
      </c>
      <c r="U65" s="4">
        <v>20</v>
      </c>
      <c r="V65" s="9">
        <f t="shared" si="23"/>
        <v>0.36749999999999999</v>
      </c>
      <c r="W65" s="4">
        <v>1.03</v>
      </c>
      <c r="Y65" s="4">
        <v>5</v>
      </c>
      <c r="Z65" s="4">
        <v>51.68</v>
      </c>
      <c r="AA65" s="4">
        <v>20</v>
      </c>
      <c r="AB65" s="9">
        <f t="shared" si="24"/>
        <v>-0.58399999999999996</v>
      </c>
      <c r="AC65" s="4">
        <v>2.14</v>
      </c>
    </row>
    <row r="66" spans="1:29" x14ac:dyDescent="0.3">
      <c r="A66" s="4">
        <v>6</v>
      </c>
      <c r="B66" s="5">
        <v>164.8</v>
      </c>
      <c r="C66" s="5">
        <v>172</v>
      </c>
      <c r="D66" s="9">
        <f t="shared" si="20"/>
        <v>0.95813953488372094</v>
      </c>
      <c r="E66" s="4">
        <v>1.43</v>
      </c>
      <c r="G66" s="4">
        <v>6</v>
      </c>
      <c r="H66" s="4">
        <v>9.2100000000000009</v>
      </c>
      <c r="I66" s="4">
        <v>21</v>
      </c>
      <c r="J66" s="9">
        <f t="shared" si="21"/>
        <v>0.43857142857142861</v>
      </c>
      <c r="K66" s="4">
        <v>1.01</v>
      </c>
      <c r="M66" s="4">
        <v>6</v>
      </c>
      <c r="N66" s="6">
        <v>38.299999999999997</v>
      </c>
      <c r="O66" s="4">
        <v>20</v>
      </c>
      <c r="P66" s="9">
        <f t="shared" si="22"/>
        <v>8.5000000000000145E-2</v>
      </c>
      <c r="Q66" s="4">
        <v>2.4900000000000002</v>
      </c>
      <c r="S66" s="4">
        <v>6</v>
      </c>
      <c r="T66" s="4">
        <v>8.49</v>
      </c>
      <c r="U66" s="4">
        <v>21</v>
      </c>
      <c r="V66" s="9">
        <f t="shared" si="23"/>
        <v>0.4042857142857143</v>
      </c>
      <c r="W66" s="4">
        <v>1.01</v>
      </c>
      <c r="Y66" s="4">
        <v>6</v>
      </c>
      <c r="Z66" s="4">
        <v>38.47</v>
      </c>
      <c r="AA66" s="4">
        <v>20</v>
      </c>
      <c r="AB66" s="9">
        <f t="shared" si="24"/>
        <v>7.6500000000000054E-2</v>
      </c>
      <c r="AC66" s="4">
        <v>2.8</v>
      </c>
    </row>
    <row r="67" spans="1:29" x14ac:dyDescent="0.3">
      <c r="A67" s="4">
        <v>7</v>
      </c>
      <c r="B67" s="5">
        <v>165.7</v>
      </c>
      <c r="C67" s="5">
        <v>149</v>
      </c>
      <c r="D67" s="9">
        <f t="shared" si="20"/>
        <v>0.88791946308724845</v>
      </c>
      <c r="E67" s="4">
        <v>1.3</v>
      </c>
      <c r="G67" s="4">
        <v>7</v>
      </c>
      <c r="H67" s="4">
        <v>8.8800000000000008</v>
      </c>
      <c r="I67" s="4">
        <v>19</v>
      </c>
      <c r="J67" s="9">
        <f t="shared" si="21"/>
        <v>0.4673684210526316</v>
      </c>
      <c r="K67" s="4">
        <v>1.01</v>
      </c>
      <c r="M67" s="4">
        <v>7</v>
      </c>
      <c r="N67" s="4">
        <v>49.02</v>
      </c>
      <c r="O67" s="4">
        <v>20</v>
      </c>
      <c r="P67" s="9">
        <f t="shared" si="22"/>
        <v>-0.45100000000000018</v>
      </c>
      <c r="Q67" s="4">
        <v>2.78</v>
      </c>
      <c r="S67" s="4">
        <v>7</v>
      </c>
      <c r="T67" s="4">
        <v>8.74</v>
      </c>
      <c r="U67" s="4">
        <v>19</v>
      </c>
      <c r="V67" s="9">
        <f t="shared" si="23"/>
        <v>0.46</v>
      </c>
      <c r="W67" s="4">
        <v>1.01</v>
      </c>
      <c r="Y67" s="4">
        <v>7</v>
      </c>
      <c r="Z67" s="4">
        <v>49.07</v>
      </c>
      <c r="AA67" s="4">
        <v>20</v>
      </c>
      <c r="AB67" s="9">
        <f t="shared" si="24"/>
        <v>-0.45350000000000001</v>
      </c>
      <c r="AC67" s="4">
        <v>2.88</v>
      </c>
    </row>
    <row r="68" spans="1:29" x14ac:dyDescent="0.3">
      <c r="A68" s="4">
        <v>8</v>
      </c>
      <c r="B68" s="5">
        <v>155.80000000000001</v>
      </c>
      <c r="C68" s="5">
        <v>166</v>
      </c>
      <c r="D68" s="9">
        <f t="shared" si="20"/>
        <v>0.93855421686746998</v>
      </c>
      <c r="E68" s="4">
        <v>1.24</v>
      </c>
      <c r="G68" s="4">
        <v>8</v>
      </c>
      <c r="H68" s="4">
        <v>8.11</v>
      </c>
      <c r="I68" s="4">
        <v>20</v>
      </c>
      <c r="J68" s="9">
        <f t="shared" si="21"/>
        <v>0.40549999999999997</v>
      </c>
      <c r="K68" s="4">
        <v>1.01</v>
      </c>
      <c r="M68" s="4">
        <v>8</v>
      </c>
      <c r="N68" s="6">
        <v>39.39</v>
      </c>
      <c r="O68" s="4">
        <v>21</v>
      </c>
      <c r="P68" s="9">
        <f t="shared" si="22"/>
        <v>0.12428571428571426</v>
      </c>
      <c r="Q68" s="4">
        <v>2.13</v>
      </c>
      <c r="S68" s="4">
        <v>8</v>
      </c>
      <c r="T68" s="6">
        <v>7.7</v>
      </c>
      <c r="U68" s="4">
        <v>20</v>
      </c>
      <c r="V68" s="9">
        <f t="shared" si="23"/>
        <v>0.38499999999999995</v>
      </c>
      <c r="W68" s="4">
        <v>1.01</v>
      </c>
      <c r="Y68" s="4">
        <v>8</v>
      </c>
      <c r="Z68" s="6">
        <v>38.08</v>
      </c>
      <c r="AA68" s="4">
        <v>21</v>
      </c>
      <c r="AB68" s="9">
        <f t="shared" si="24"/>
        <v>0.18666666666666676</v>
      </c>
      <c r="AC68" s="4">
        <v>2.0299999999999998</v>
      </c>
    </row>
    <row r="69" spans="1:29" x14ac:dyDescent="0.3">
      <c r="A69" s="4">
        <v>9</v>
      </c>
      <c r="B69" s="5">
        <v>167.7</v>
      </c>
      <c r="C69" s="5">
        <v>174</v>
      </c>
      <c r="D69" s="9">
        <f t="shared" si="20"/>
        <v>0.96379310344827585</v>
      </c>
      <c r="E69" s="4">
        <v>1.34</v>
      </c>
      <c r="G69" s="4">
        <v>9</v>
      </c>
      <c r="H69" s="4">
        <v>8.9600000000000009</v>
      </c>
      <c r="I69" s="4">
        <v>20</v>
      </c>
      <c r="J69" s="9">
        <f t="shared" si="21"/>
        <v>0.44800000000000006</v>
      </c>
      <c r="K69" s="4">
        <v>1.02</v>
      </c>
      <c r="M69" s="4">
        <v>9</v>
      </c>
      <c r="N69" s="4">
        <v>39.369999999999997</v>
      </c>
      <c r="O69" s="4">
        <v>21</v>
      </c>
      <c r="P69" s="9">
        <f t="shared" si="22"/>
        <v>0.12523809523809537</v>
      </c>
      <c r="Q69" s="4">
        <v>2.23</v>
      </c>
      <c r="S69" s="4">
        <v>9</v>
      </c>
      <c r="T69" s="4">
        <v>8.2899999999999991</v>
      </c>
      <c r="U69" s="4">
        <v>20</v>
      </c>
      <c r="V69" s="9">
        <f t="shared" si="23"/>
        <v>0.41449999999999998</v>
      </c>
      <c r="W69" s="4">
        <v>1.02</v>
      </c>
      <c r="Y69" s="4">
        <v>9</v>
      </c>
      <c r="Z69" s="4">
        <v>39.35</v>
      </c>
      <c r="AA69" s="4">
        <v>21</v>
      </c>
      <c r="AB69" s="9">
        <f t="shared" si="24"/>
        <v>0.12619047619047613</v>
      </c>
      <c r="AC69" s="4">
        <v>2.35</v>
      </c>
    </row>
    <row r="70" spans="1:29" x14ac:dyDescent="0.3">
      <c r="A70" s="4">
        <v>10</v>
      </c>
      <c r="B70" s="5">
        <v>161.19999999999999</v>
      </c>
      <c r="C70" s="5">
        <v>172</v>
      </c>
      <c r="D70" s="9">
        <f t="shared" si="20"/>
        <v>0.93720930232558131</v>
      </c>
      <c r="E70" s="4">
        <v>1.34</v>
      </c>
      <c r="G70" s="4">
        <v>10</v>
      </c>
      <c r="H70" s="6">
        <v>9.6300000000000008</v>
      </c>
      <c r="I70" s="4">
        <v>20</v>
      </c>
      <c r="J70" s="9">
        <f t="shared" si="21"/>
        <v>0.48150000000000004</v>
      </c>
      <c r="K70" s="4">
        <v>1.01</v>
      </c>
      <c r="M70" s="4">
        <v>10</v>
      </c>
      <c r="N70" s="6">
        <v>46.68</v>
      </c>
      <c r="O70" s="4">
        <v>20</v>
      </c>
      <c r="P70" s="9">
        <f t="shared" si="22"/>
        <v>-0.33399999999999996</v>
      </c>
      <c r="Q70" s="4">
        <v>2.19</v>
      </c>
      <c r="S70" s="4">
        <v>10</v>
      </c>
      <c r="T70" s="6">
        <v>9.52</v>
      </c>
      <c r="U70" s="4">
        <v>20</v>
      </c>
      <c r="V70" s="9">
        <f t="shared" si="23"/>
        <v>0.47599999999999998</v>
      </c>
      <c r="W70" s="4">
        <v>1.01</v>
      </c>
      <c r="Y70" s="4">
        <v>10</v>
      </c>
      <c r="Z70" s="6">
        <v>46.35</v>
      </c>
      <c r="AA70" s="4">
        <v>20</v>
      </c>
      <c r="AB70" s="9">
        <f t="shared" si="24"/>
        <v>-0.31750000000000006</v>
      </c>
      <c r="AC70" s="4">
        <v>2.2000000000000002</v>
      </c>
    </row>
    <row r="71" spans="1:29" x14ac:dyDescent="0.3">
      <c r="A71" s="7"/>
      <c r="B71" s="7"/>
      <c r="C71" s="7"/>
      <c r="D71" s="10" t="str">
        <f>TEXT(AVERAGE(D61:D70),"0.0%")&amp; "±" &amp;TEXT(_xlfn.STDEV.S(D61:D70),"0.0%")</f>
        <v>94.5%±3.0%</v>
      </c>
      <c r="E71" s="10">
        <f>AVERAGE(E61:E70)</f>
        <v>1.294</v>
      </c>
      <c r="J71" s="10" t="str">
        <f>TEXT(AVERAGE(J61:J70),"0.0%")&amp; "±" &amp;TEXT(_xlfn.STDEV.S(J61:J70),"0.0%")</f>
        <v>43.8%±3.5%</v>
      </c>
      <c r="K71" s="10">
        <f>AVERAGE(K61:K70)</f>
        <v>1.0139999999999998</v>
      </c>
      <c r="P71" s="10" t="str">
        <f>TEXT(AVERAGE(P61:P70),"0.0%")&amp; "±" &amp;TEXT(_xlfn.STDEV.S(P61:P70),"0.0%")</f>
        <v>-51.6%±59.6%</v>
      </c>
      <c r="Q71" s="10">
        <f>AVERAGE(Q61:Q70)</f>
        <v>2.2510000000000003</v>
      </c>
      <c r="V71" s="10" t="str">
        <f>TEXT(AVERAGE(V61:V70),"0.0%")&amp; "±" &amp;TEXT(_xlfn.STDEV.S(V61:V70),"0.0%")</f>
        <v>42.7%±3.8%</v>
      </c>
      <c r="W71" s="10">
        <f>AVERAGE(W61:W70)</f>
        <v>1.016</v>
      </c>
      <c r="AB71" s="10" t="str">
        <f>TEXT(AVERAGE(AB61:AB70),"0.0%")&amp; "±" &amp;TEXT(_xlfn.STDEV.S(AB61:AB70),"0.0%")</f>
        <v>-48.8%±54.5%</v>
      </c>
      <c r="AC71" s="10">
        <f>AVERAGE(AC61:AC70)</f>
        <v>2.2790000000000004</v>
      </c>
    </row>
    <row r="73" spans="1:29" x14ac:dyDescent="0.3">
      <c r="A73" s="15" t="s">
        <v>23</v>
      </c>
      <c r="B73" s="15"/>
      <c r="C73" s="15"/>
      <c r="D73" s="15"/>
      <c r="E73" s="15"/>
      <c r="G73" s="16" t="s">
        <v>20</v>
      </c>
      <c r="H73" s="16"/>
      <c r="I73" s="16"/>
      <c r="J73" s="16"/>
      <c r="K73" s="16"/>
      <c r="M73" s="16" t="s">
        <v>21</v>
      </c>
      <c r="N73" s="16"/>
      <c r="O73" s="16"/>
      <c r="P73" s="16"/>
      <c r="Q73" s="16"/>
      <c r="S73" s="18" t="s">
        <v>20</v>
      </c>
      <c r="T73" s="18"/>
      <c r="U73" s="18"/>
      <c r="V73" s="18"/>
      <c r="W73" s="18"/>
      <c r="Y73" s="18" t="s">
        <v>21</v>
      </c>
      <c r="Z73" s="18"/>
      <c r="AA73" s="18"/>
      <c r="AB73" s="18"/>
      <c r="AC73" s="18"/>
    </row>
    <row r="74" spans="1:29" x14ac:dyDescent="0.3">
      <c r="A74" s="3" t="s">
        <v>0</v>
      </c>
      <c r="B74" s="3" t="s">
        <v>1</v>
      </c>
      <c r="C74" s="3" t="s">
        <v>2</v>
      </c>
      <c r="D74" s="3" t="s">
        <v>22</v>
      </c>
      <c r="E74" s="3" t="s">
        <v>3</v>
      </c>
      <c r="G74" s="3" t="s">
        <v>0</v>
      </c>
      <c r="H74" s="3" t="s">
        <v>1</v>
      </c>
      <c r="I74" s="3" t="s">
        <v>2</v>
      </c>
      <c r="J74" s="3" t="s">
        <v>22</v>
      </c>
      <c r="K74" s="3" t="s">
        <v>3</v>
      </c>
      <c r="M74" s="3" t="s">
        <v>0</v>
      </c>
      <c r="N74" s="3" t="s">
        <v>1</v>
      </c>
      <c r="O74" s="3" t="s">
        <v>2</v>
      </c>
      <c r="P74" s="3" t="s">
        <v>22</v>
      </c>
      <c r="Q74" s="3" t="s">
        <v>3</v>
      </c>
      <c r="S74" s="3" t="s">
        <v>0</v>
      </c>
      <c r="T74" s="3" t="s">
        <v>1</v>
      </c>
      <c r="U74" s="3" t="s">
        <v>2</v>
      </c>
      <c r="V74" s="3" t="s">
        <v>22</v>
      </c>
      <c r="W74" s="3" t="s">
        <v>3</v>
      </c>
      <c r="Y74" s="3" t="s">
        <v>0</v>
      </c>
      <c r="Z74" s="3" t="s">
        <v>1</v>
      </c>
      <c r="AA74" s="3" t="s">
        <v>2</v>
      </c>
      <c r="AB74" s="3" t="s">
        <v>22</v>
      </c>
      <c r="AC74" s="3" t="s">
        <v>3</v>
      </c>
    </row>
    <row r="75" spans="1:29" x14ac:dyDescent="0.3">
      <c r="A75" s="4">
        <v>1</v>
      </c>
      <c r="B75" s="5">
        <v>153.97</v>
      </c>
      <c r="C75" s="5">
        <v>157</v>
      </c>
      <c r="D75" s="9">
        <f>(C75-ABS(C75-B75))/C75</f>
        <v>0.98070063694267517</v>
      </c>
      <c r="E75" s="4">
        <v>1.29</v>
      </c>
      <c r="G75" s="4">
        <v>1</v>
      </c>
      <c r="H75" s="4">
        <v>7.01</v>
      </c>
      <c r="I75" s="4">
        <v>20</v>
      </c>
      <c r="J75" s="9">
        <f>(I75-ABS(I75-H75))/I75</f>
        <v>0.35049999999999998</v>
      </c>
      <c r="K75" s="4">
        <v>1.01</v>
      </c>
      <c r="M75" s="4">
        <v>1</v>
      </c>
      <c r="N75" s="4">
        <v>60.56</v>
      </c>
      <c r="O75" s="4">
        <v>20</v>
      </c>
      <c r="P75" s="9">
        <f>(O75-ABS(O75-N75))/O75</f>
        <v>-1.028</v>
      </c>
      <c r="Q75" s="4">
        <v>2.3199999999999998</v>
      </c>
      <c r="S75" s="4">
        <v>1</v>
      </c>
      <c r="T75" s="4">
        <v>7.49</v>
      </c>
      <c r="U75" s="4">
        <v>20</v>
      </c>
      <c r="V75" s="9">
        <f>(U75-ABS(U75-T75))/U75</f>
        <v>0.3745</v>
      </c>
      <c r="W75" s="4">
        <v>1.02</v>
      </c>
      <c r="Y75" s="4">
        <v>1</v>
      </c>
      <c r="Z75" s="4">
        <v>60.15</v>
      </c>
      <c r="AA75" s="4">
        <v>20</v>
      </c>
      <c r="AB75" s="9">
        <f>(AA75-ABS(AA75-Z75))/AA75</f>
        <v>-1.0074999999999998</v>
      </c>
      <c r="AC75" s="4">
        <v>2.56</v>
      </c>
    </row>
    <row r="76" spans="1:29" x14ac:dyDescent="0.3">
      <c r="A76" s="4">
        <v>2</v>
      </c>
      <c r="B76" s="5">
        <v>166.05</v>
      </c>
      <c r="C76" s="5">
        <v>161</v>
      </c>
      <c r="D76" s="9">
        <f t="shared" ref="D76:D84" si="25">(C76-ABS(C76-B76))/C76</f>
        <v>0.96863354037267069</v>
      </c>
      <c r="E76" s="4">
        <v>1.74</v>
      </c>
      <c r="G76" s="4">
        <v>2</v>
      </c>
      <c r="H76" s="4">
        <v>6.58</v>
      </c>
      <c r="I76" s="4">
        <v>22</v>
      </c>
      <c r="J76" s="9">
        <f t="shared" ref="J76:J83" si="26">(I76-ABS(I76-H76))/I76</f>
        <v>0.29909090909090907</v>
      </c>
      <c r="K76" s="4">
        <v>1.01</v>
      </c>
      <c r="M76" s="4">
        <v>2</v>
      </c>
      <c r="N76" s="4">
        <v>62.55</v>
      </c>
      <c r="O76" s="4">
        <v>20</v>
      </c>
      <c r="P76" s="9">
        <f t="shared" ref="P76:P84" si="27">(O76-ABS(O76-N76))/O76</f>
        <v>-1.1274999999999999</v>
      </c>
      <c r="Q76" s="4">
        <v>2.77</v>
      </c>
      <c r="S76" s="4">
        <v>2</v>
      </c>
      <c r="T76" s="4">
        <v>6.98</v>
      </c>
      <c r="U76" s="4">
        <v>22</v>
      </c>
      <c r="V76" s="9">
        <f t="shared" ref="V76:V84" si="28">(U76-ABS(U76-T76))/U76</f>
        <v>0.31727272727272732</v>
      </c>
      <c r="W76" s="4">
        <v>1.01</v>
      </c>
      <c r="Y76" s="4">
        <v>2</v>
      </c>
      <c r="Z76" s="4">
        <v>60.38</v>
      </c>
      <c r="AA76" s="4">
        <v>20</v>
      </c>
      <c r="AB76" s="9">
        <f t="shared" ref="AB76:AB84" si="29">(AA76-ABS(AA76-Z76))/AA76</f>
        <v>-1.0190000000000001</v>
      </c>
      <c r="AC76" s="4">
        <v>2.36</v>
      </c>
    </row>
    <row r="77" spans="1:29" x14ac:dyDescent="0.3">
      <c r="A77" s="4">
        <v>3</v>
      </c>
      <c r="B77" s="5">
        <v>147.43</v>
      </c>
      <c r="C77" s="5">
        <v>154</v>
      </c>
      <c r="D77" s="9">
        <f t="shared" si="25"/>
        <v>0.95733766233766238</v>
      </c>
      <c r="E77" s="4">
        <v>1.47</v>
      </c>
      <c r="G77" s="4">
        <v>3</v>
      </c>
      <c r="H77" s="4">
        <v>6.88</v>
      </c>
      <c r="I77" s="4">
        <v>21</v>
      </c>
      <c r="J77" s="9">
        <f t="shared" si="26"/>
        <v>0.32761904761904759</v>
      </c>
      <c r="K77" s="6">
        <v>1</v>
      </c>
      <c r="M77" s="4">
        <v>3</v>
      </c>
      <c r="N77" s="4">
        <v>52.18</v>
      </c>
      <c r="O77" s="4">
        <v>20</v>
      </c>
      <c r="P77" s="9">
        <f t="shared" si="27"/>
        <v>-0.60899999999999999</v>
      </c>
      <c r="Q77" s="4">
        <v>2.7</v>
      </c>
      <c r="S77" s="4">
        <v>3</v>
      </c>
      <c r="T77" s="4">
        <v>7.67</v>
      </c>
      <c r="U77" s="4">
        <v>21</v>
      </c>
      <c r="V77" s="9">
        <f t="shared" si="28"/>
        <v>0.36523809523809525</v>
      </c>
      <c r="W77" s="4">
        <v>1.01</v>
      </c>
      <c r="Y77" s="4">
        <v>3</v>
      </c>
      <c r="Z77" s="4">
        <v>51.78</v>
      </c>
      <c r="AA77" s="4">
        <v>20</v>
      </c>
      <c r="AB77" s="9">
        <f t="shared" si="29"/>
        <v>-0.58900000000000008</v>
      </c>
      <c r="AC77" s="4">
        <v>2.52</v>
      </c>
    </row>
    <row r="78" spans="1:29" x14ac:dyDescent="0.3">
      <c r="A78" s="4">
        <v>4</v>
      </c>
      <c r="B78" s="5">
        <v>158.35</v>
      </c>
      <c r="C78" s="5">
        <v>154</v>
      </c>
      <c r="D78" s="9">
        <f t="shared" si="25"/>
        <v>0.97175324675324681</v>
      </c>
      <c r="E78" s="4">
        <v>1.44</v>
      </c>
      <c r="G78" s="4">
        <v>4</v>
      </c>
      <c r="H78" s="4">
        <v>7.65</v>
      </c>
      <c r="I78" s="4">
        <v>21</v>
      </c>
      <c r="J78" s="9">
        <f t="shared" si="26"/>
        <v>0.36428571428571432</v>
      </c>
      <c r="K78" s="6">
        <v>1</v>
      </c>
      <c r="M78" s="4">
        <v>4</v>
      </c>
      <c r="N78" s="4">
        <v>57.89</v>
      </c>
      <c r="O78" s="4">
        <v>20</v>
      </c>
      <c r="P78" s="9">
        <f t="shared" si="27"/>
        <v>-0.89450000000000007</v>
      </c>
      <c r="Q78" s="4">
        <v>2.36</v>
      </c>
      <c r="S78" s="4">
        <v>4</v>
      </c>
      <c r="T78" s="4">
        <v>7.99</v>
      </c>
      <c r="U78" s="4">
        <v>21</v>
      </c>
      <c r="V78" s="9">
        <f t="shared" si="28"/>
        <v>0.38047619047619047</v>
      </c>
      <c r="W78" s="4">
        <v>1.01</v>
      </c>
      <c r="Y78" s="4">
        <v>4</v>
      </c>
      <c r="Z78" s="4">
        <v>60.73</v>
      </c>
      <c r="AA78" s="4">
        <v>20</v>
      </c>
      <c r="AB78" s="9">
        <f t="shared" si="29"/>
        <v>-1.0364999999999998</v>
      </c>
      <c r="AC78" s="6">
        <v>2.2999999999999998</v>
      </c>
    </row>
    <row r="79" spans="1:29" x14ac:dyDescent="0.3">
      <c r="A79" s="4">
        <v>5</v>
      </c>
      <c r="B79" s="5">
        <v>157.46</v>
      </c>
      <c r="C79" s="5">
        <v>160</v>
      </c>
      <c r="D79" s="9">
        <f t="shared" si="25"/>
        <v>0.98412500000000003</v>
      </c>
      <c r="E79" s="4">
        <v>1.53</v>
      </c>
      <c r="G79" s="4">
        <v>5</v>
      </c>
      <c r="H79" s="4">
        <v>6.47</v>
      </c>
      <c r="I79" s="4">
        <v>20</v>
      </c>
      <c r="J79" s="9">
        <f t="shared" si="26"/>
        <v>0.32349999999999995</v>
      </c>
      <c r="K79" s="4">
        <v>1.01</v>
      </c>
      <c r="M79" s="4">
        <v>5</v>
      </c>
      <c r="N79" s="4">
        <v>53.27</v>
      </c>
      <c r="O79" s="4">
        <v>20</v>
      </c>
      <c r="P79" s="9">
        <f t="shared" si="27"/>
        <v>-0.6635000000000002</v>
      </c>
      <c r="Q79" s="4">
        <v>2.57</v>
      </c>
      <c r="S79" s="4">
        <v>5</v>
      </c>
      <c r="T79" s="4">
        <v>7.36</v>
      </c>
      <c r="U79" s="4">
        <v>20</v>
      </c>
      <c r="V79" s="9">
        <f t="shared" si="28"/>
        <v>0.36799999999999999</v>
      </c>
      <c r="W79" s="4">
        <v>1.02</v>
      </c>
      <c r="Y79" s="4">
        <v>5</v>
      </c>
      <c r="Z79" s="4">
        <v>53.85</v>
      </c>
      <c r="AA79" s="4">
        <v>20</v>
      </c>
      <c r="AB79" s="9">
        <f t="shared" si="29"/>
        <v>-0.69250000000000012</v>
      </c>
      <c r="AC79" s="6">
        <v>2.6</v>
      </c>
    </row>
    <row r="80" spans="1:29" x14ac:dyDescent="0.3">
      <c r="A80" s="4">
        <v>6</v>
      </c>
      <c r="B80" s="5">
        <v>197.59</v>
      </c>
      <c r="C80" s="5">
        <v>156</v>
      </c>
      <c r="D80" s="9">
        <f t="shared" si="25"/>
        <v>0.73339743589743589</v>
      </c>
      <c r="E80" s="4">
        <v>1.37</v>
      </c>
      <c r="G80" s="4">
        <v>6</v>
      </c>
      <c r="H80" s="4">
        <v>7.71</v>
      </c>
      <c r="I80" s="4">
        <v>21</v>
      </c>
      <c r="J80" s="9">
        <f t="shared" si="26"/>
        <v>0.36714285714285716</v>
      </c>
      <c r="K80" s="6">
        <v>1</v>
      </c>
      <c r="M80" s="4">
        <v>6</v>
      </c>
      <c r="N80" s="4">
        <v>37.770000000000003</v>
      </c>
      <c r="O80" s="4">
        <v>20</v>
      </c>
      <c r="P80" s="9">
        <f t="shared" si="27"/>
        <v>0.11149999999999985</v>
      </c>
      <c r="Q80" s="4">
        <v>2.4300000000000002</v>
      </c>
      <c r="S80" s="4">
        <v>6</v>
      </c>
      <c r="T80" s="4">
        <v>7.31</v>
      </c>
      <c r="U80" s="4">
        <v>21</v>
      </c>
      <c r="V80" s="9">
        <f t="shared" si="28"/>
        <v>0.34809523809523801</v>
      </c>
      <c r="W80" s="4">
        <v>1.01</v>
      </c>
      <c r="Y80" s="4">
        <v>6</v>
      </c>
      <c r="Z80" s="4">
        <v>37.770000000000003</v>
      </c>
      <c r="AA80" s="4">
        <v>20</v>
      </c>
      <c r="AB80" s="9">
        <f t="shared" si="29"/>
        <v>0.11149999999999985</v>
      </c>
      <c r="AC80" s="4">
        <v>2.74</v>
      </c>
    </row>
    <row r="81" spans="1:29" x14ac:dyDescent="0.3">
      <c r="A81" s="4">
        <v>7</v>
      </c>
      <c r="B81" s="5">
        <v>141.22</v>
      </c>
      <c r="C81" s="5">
        <v>153</v>
      </c>
      <c r="D81" s="9">
        <f t="shared" si="25"/>
        <v>0.92300653594771243</v>
      </c>
      <c r="E81" s="4">
        <v>1.66</v>
      </c>
      <c r="G81" s="4">
        <v>7</v>
      </c>
      <c r="H81" s="4">
        <v>6.57</v>
      </c>
      <c r="I81" s="4">
        <v>19</v>
      </c>
      <c r="J81" s="9">
        <f t="shared" si="26"/>
        <v>0.34578947368421054</v>
      </c>
      <c r="K81" s="4">
        <v>1.01</v>
      </c>
      <c r="M81" s="4">
        <v>7</v>
      </c>
      <c r="N81" s="4">
        <v>52.87</v>
      </c>
      <c r="O81" s="4">
        <v>20</v>
      </c>
      <c r="P81" s="9">
        <f t="shared" si="27"/>
        <v>-0.64349999999999985</v>
      </c>
      <c r="Q81" s="4">
        <v>2.52</v>
      </c>
      <c r="S81" s="4">
        <v>7</v>
      </c>
      <c r="T81" s="4">
        <v>6.91</v>
      </c>
      <c r="U81" s="4">
        <v>19</v>
      </c>
      <c r="V81" s="9">
        <f t="shared" si="28"/>
        <v>0.36368421052631578</v>
      </c>
      <c r="W81" s="4">
        <v>1.01</v>
      </c>
      <c r="Y81" s="4">
        <v>7</v>
      </c>
      <c r="Z81" s="6">
        <v>51</v>
      </c>
      <c r="AA81" s="4">
        <v>20</v>
      </c>
      <c r="AB81" s="9">
        <f t="shared" si="29"/>
        <v>-0.55000000000000004</v>
      </c>
      <c r="AC81" s="4">
        <v>2.62</v>
      </c>
    </row>
    <row r="82" spans="1:29" x14ac:dyDescent="0.3">
      <c r="A82" s="4">
        <v>8</v>
      </c>
      <c r="B82" s="5">
        <v>146.52000000000001</v>
      </c>
      <c r="C82" s="5">
        <v>160</v>
      </c>
      <c r="D82" s="9">
        <f t="shared" si="25"/>
        <v>0.91575000000000006</v>
      </c>
      <c r="E82" s="4">
        <v>1.49</v>
      </c>
      <c r="G82" s="4">
        <v>8</v>
      </c>
      <c r="H82" s="4">
        <v>6.82</v>
      </c>
      <c r="I82" s="4">
        <v>20</v>
      </c>
      <c r="J82" s="9">
        <f t="shared" si="26"/>
        <v>0.34100000000000003</v>
      </c>
      <c r="K82" s="4">
        <v>1.01</v>
      </c>
      <c r="M82" s="4">
        <v>8</v>
      </c>
      <c r="N82" s="4">
        <v>60.73</v>
      </c>
      <c r="O82" s="4">
        <v>19</v>
      </c>
      <c r="P82" s="9">
        <f t="shared" si="27"/>
        <v>-1.196315789473684</v>
      </c>
      <c r="Q82" s="4">
        <v>2.5499999999999998</v>
      </c>
      <c r="S82" s="4">
        <v>8</v>
      </c>
      <c r="T82" s="4">
        <v>7.39</v>
      </c>
      <c r="U82" s="4">
        <v>20</v>
      </c>
      <c r="V82" s="9">
        <f t="shared" si="28"/>
        <v>0.36950000000000005</v>
      </c>
      <c r="W82" s="4">
        <v>1.02</v>
      </c>
      <c r="Y82" s="4">
        <v>8</v>
      </c>
      <c r="Z82" s="6">
        <v>58.5</v>
      </c>
      <c r="AA82" s="4">
        <v>19</v>
      </c>
      <c r="AB82" s="9">
        <f t="shared" si="29"/>
        <v>-1.0789473684210527</v>
      </c>
      <c r="AC82" s="4">
        <v>2.46</v>
      </c>
    </row>
    <row r="83" spans="1:29" x14ac:dyDescent="0.3">
      <c r="A83" s="4">
        <v>9</v>
      </c>
      <c r="B83" s="5">
        <v>174.15</v>
      </c>
      <c r="C83" s="5">
        <v>166</v>
      </c>
      <c r="D83" s="9">
        <f t="shared" si="25"/>
        <v>0.95090361445783134</v>
      </c>
      <c r="E83" s="4">
        <v>1.67</v>
      </c>
      <c r="G83" s="4">
        <v>9</v>
      </c>
      <c r="H83" s="4">
        <v>6.74</v>
      </c>
      <c r="I83" s="4">
        <v>20</v>
      </c>
      <c r="J83" s="9">
        <f t="shared" si="26"/>
        <v>0.33700000000000002</v>
      </c>
      <c r="K83" s="6">
        <v>1</v>
      </c>
      <c r="M83" s="4">
        <v>9</v>
      </c>
      <c r="N83" s="6">
        <v>53.3</v>
      </c>
      <c r="O83" s="4">
        <v>19</v>
      </c>
      <c r="P83" s="9">
        <f t="shared" si="27"/>
        <v>-0.80526315789473668</v>
      </c>
      <c r="Q83" s="4">
        <v>2.4300000000000002</v>
      </c>
      <c r="S83" s="4">
        <v>9</v>
      </c>
      <c r="T83" s="4">
        <v>7.95</v>
      </c>
      <c r="U83" s="4">
        <v>20</v>
      </c>
      <c r="V83" s="9">
        <f t="shared" si="28"/>
        <v>0.39749999999999996</v>
      </c>
      <c r="W83" s="4">
        <v>1.01</v>
      </c>
      <c r="Y83" s="4">
        <v>9</v>
      </c>
      <c r="Z83" s="4">
        <v>53.31</v>
      </c>
      <c r="AA83" s="4">
        <v>19</v>
      </c>
      <c r="AB83" s="9">
        <f t="shared" si="29"/>
        <v>-0.80578947368421061</v>
      </c>
      <c r="AC83" s="4">
        <v>2.61</v>
      </c>
    </row>
    <row r="84" spans="1:29" x14ac:dyDescent="0.3">
      <c r="A84" s="4">
        <v>10</v>
      </c>
      <c r="B84" s="5">
        <v>163.68</v>
      </c>
      <c r="C84" s="5">
        <v>156</v>
      </c>
      <c r="D84" s="9">
        <f t="shared" si="25"/>
        <v>0.9507692307692307</v>
      </c>
      <c r="E84" s="4">
        <v>1.54</v>
      </c>
      <c r="G84" s="4">
        <v>10</v>
      </c>
      <c r="H84" s="6">
        <v>6.83</v>
      </c>
      <c r="I84" s="4">
        <v>20</v>
      </c>
      <c r="J84" s="9">
        <f>(I84-ABS(I84-H84))/I84</f>
        <v>0.34150000000000003</v>
      </c>
      <c r="K84" s="6">
        <v>1</v>
      </c>
      <c r="M84" s="4">
        <v>10</v>
      </c>
      <c r="N84" s="6">
        <v>51.9</v>
      </c>
      <c r="O84" s="4">
        <v>20</v>
      </c>
      <c r="P84" s="9">
        <f t="shared" si="27"/>
        <v>-0.59499999999999997</v>
      </c>
      <c r="Q84" s="4">
        <v>2.5099999999999998</v>
      </c>
      <c r="S84" s="4">
        <v>10</v>
      </c>
      <c r="T84" s="6">
        <v>7.6</v>
      </c>
      <c r="U84" s="4">
        <v>20</v>
      </c>
      <c r="V84" s="9">
        <f t="shared" si="28"/>
        <v>0.38</v>
      </c>
      <c r="W84" s="4">
        <v>1.01</v>
      </c>
      <c r="Y84" s="4">
        <v>10</v>
      </c>
      <c r="Z84" s="6">
        <v>50.67</v>
      </c>
      <c r="AA84" s="4">
        <v>20</v>
      </c>
      <c r="AB84" s="9">
        <f t="shared" si="29"/>
        <v>-0.53350000000000009</v>
      </c>
      <c r="AC84" s="4">
        <v>2.56</v>
      </c>
    </row>
    <row r="85" spans="1:29" x14ac:dyDescent="0.3">
      <c r="A85" s="7"/>
      <c r="B85" s="7"/>
      <c r="C85" s="7"/>
      <c r="D85" s="10" t="str">
        <f>TEXT(AVERAGE(D75:D84),"0.0%")&amp; "±" &amp;TEXT(_xlfn.STDEV.S(D75:D84),"0.0%")</f>
        <v>93.4%±7.4%</v>
      </c>
      <c r="E85" s="20">
        <f>AVERAGE(E75:E84)</f>
        <v>1.52</v>
      </c>
      <c r="J85" s="10" t="str">
        <f>TEXT(AVERAGE(J75:J84),"0.0%")&amp; "±" &amp;TEXT(_xlfn.STDEV.S(J75:J84),"0.0%")</f>
        <v>34.0%±2.0%</v>
      </c>
      <c r="K85" s="10">
        <f>AVERAGE(K75:K84)</f>
        <v>1.0049999999999999</v>
      </c>
      <c r="P85" s="10" t="str">
        <f>TEXT(AVERAGE(P75:P84),"0.0%")&amp; "±" &amp;TEXT(_xlfn.STDEV.S(P75:P84),"0.0%")</f>
        <v>-74.5%±37.2%</v>
      </c>
      <c r="Q85" s="10">
        <f>AVERAGE(Q75:Q84)</f>
        <v>2.5160000000000005</v>
      </c>
      <c r="V85" s="10" t="str">
        <f>TEXT(AVERAGE(V75:V84),"0.0%")&amp; "±" &amp;TEXT(_xlfn.STDEV.S(V75:V84),"0.0%")</f>
        <v>36.6%±2.2%</v>
      </c>
      <c r="W85" s="10">
        <f>AVERAGE(W75:W84)</f>
        <v>1.0129999999999999</v>
      </c>
      <c r="AB85" s="10" t="str">
        <f>TEXT(AVERAGE(AB75:AB84),"0.0%")&amp; "±" &amp;TEXT(_xlfn.STDEV.S(AB75:AB84),"0.0%")</f>
        <v>-72.0%±36.2%</v>
      </c>
      <c r="AC85" s="10">
        <f>AVERAGE(AC75:AC84)</f>
        <v>2.5329999999999999</v>
      </c>
    </row>
    <row r="86" spans="1:29" x14ac:dyDescent="0.3">
      <c r="K86" s="7"/>
      <c r="Q86" s="7"/>
    </row>
    <row r="87" spans="1:29" x14ac:dyDescent="0.3">
      <c r="A87" s="15" t="s">
        <v>4</v>
      </c>
      <c r="B87" s="15"/>
      <c r="C87" s="15"/>
      <c r="D87" s="15"/>
      <c r="E87" s="15"/>
      <c r="G87" s="16" t="s">
        <v>24</v>
      </c>
      <c r="H87" s="16"/>
      <c r="I87" s="16"/>
      <c r="J87" s="16"/>
      <c r="K87" s="16"/>
      <c r="M87" s="16" t="s">
        <v>25</v>
      </c>
      <c r="N87" s="16"/>
      <c r="O87" s="16"/>
      <c r="P87" s="16"/>
      <c r="Q87" s="16"/>
      <c r="S87" s="18" t="s">
        <v>24</v>
      </c>
      <c r="T87" s="18"/>
      <c r="U87" s="18"/>
      <c r="V87" s="18"/>
      <c r="W87" s="18"/>
      <c r="Y87" s="18" t="s">
        <v>25</v>
      </c>
      <c r="Z87" s="18"/>
      <c r="AA87" s="18"/>
      <c r="AB87" s="18"/>
      <c r="AC87" s="18"/>
    </row>
    <row r="88" spans="1:29" x14ac:dyDescent="0.3">
      <c r="A88" s="3" t="s">
        <v>0</v>
      </c>
      <c r="B88" s="3" t="s">
        <v>1</v>
      </c>
      <c r="C88" s="3" t="s">
        <v>2</v>
      </c>
      <c r="D88" s="3" t="s">
        <v>22</v>
      </c>
      <c r="E88" s="3" t="s">
        <v>3</v>
      </c>
      <c r="G88" s="3" t="s">
        <v>0</v>
      </c>
      <c r="H88" s="3" t="s">
        <v>1</v>
      </c>
      <c r="I88" s="3" t="s">
        <v>2</v>
      </c>
      <c r="J88" s="3" t="s">
        <v>22</v>
      </c>
      <c r="K88" s="3" t="s">
        <v>3</v>
      </c>
      <c r="M88" s="3" t="s">
        <v>0</v>
      </c>
      <c r="N88" s="3" t="s">
        <v>1</v>
      </c>
      <c r="O88" s="3" t="s">
        <v>2</v>
      </c>
      <c r="P88" s="3" t="s">
        <v>22</v>
      </c>
      <c r="Q88" s="3" t="s">
        <v>3</v>
      </c>
      <c r="S88" s="3" t="s">
        <v>0</v>
      </c>
      <c r="T88" s="3" t="s">
        <v>1</v>
      </c>
      <c r="U88" s="3" t="s">
        <v>2</v>
      </c>
      <c r="V88" s="3" t="s">
        <v>22</v>
      </c>
      <c r="W88" s="3" t="s">
        <v>3</v>
      </c>
      <c r="Y88" s="3" t="s">
        <v>0</v>
      </c>
      <c r="Z88" s="3" t="s">
        <v>1</v>
      </c>
      <c r="AA88" s="3" t="s">
        <v>2</v>
      </c>
      <c r="AB88" s="3" t="s">
        <v>22</v>
      </c>
      <c r="AC88" s="3" t="s">
        <v>3</v>
      </c>
    </row>
    <row r="89" spans="1:29" x14ac:dyDescent="0.3">
      <c r="A89" s="4">
        <v>1</v>
      </c>
      <c r="B89" s="19">
        <v>98</v>
      </c>
      <c r="C89" s="5">
        <v>113</v>
      </c>
      <c r="D89" s="9">
        <f>(C89-ABS(C89-B89))/C89</f>
        <v>0.86725663716814161</v>
      </c>
      <c r="E89" s="4">
        <v>2.36</v>
      </c>
      <c r="G89" s="4">
        <v>1</v>
      </c>
      <c r="H89" s="4">
        <v>167.17</v>
      </c>
      <c r="I89" s="4">
        <v>165</v>
      </c>
      <c r="J89" s="9">
        <f>(I89-ABS(I89-H89))/I89</f>
        <v>0.98684848484848497</v>
      </c>
      <c r="K89" s="6">
        <v>1.1000000000000001</v>
      </c>
      <c r="M89" s="4">
        <v>1</v>
      </c>
      <c r="N89" s="4">
        <v>157.44999999999999</v>
      </c>
      <c r="O89" s="5">
        <v>157</v>
      </c>
      <c r="P89" s="9">
        <f>(O89-ABS(O89-N89))/O89</f>
        <v>0.9971337579617835</v>
      </c>
      <c r="Q89" s="4">
        <v>1.79</v>
      </c>
      <c r="S89" s="4">
        <v>1</v>
      </c>
      <c r="T89" s="4">
        <v>167.22</v>
      </c>
      <c r="U89" s="4">
        <v>165</v>
      </c>
      <c r="V89" s="9">
        <f>(U89-ABS(U89-T89))/U89</f>
        <v>0.9865454545454545</v>
      </c>
      <c r="W89" s="6">
        <v>1.19</v>
      </c>
      <c r="Y89" s="4">
        <v>1</v>
      </c>
      <c r="Z89" s="4">
        <v>153.38</v>
      </c>
      <c r="AA89" s="5">
        <v>157</v>
      </c>
      <c r="AB89" s="9">
        <f>(AA89-ABS(AA89-Z89))/AA89</f>
        <v>0.97694267515923561</v>
      </c>
      <c r="AC89" s="4">
        <v>1.67</v>
      </c>
    </row>
    <row r="90" spans="1:29" x14ac:dyDescent="0.3">
      <c r="A90" s="4">
        <v>2</v>
      </c>
      <c r="B90" s="5">
        <v>109.34</v>
      </c>
      <c r="C90" s="5">
        <v>99</v>
      </c>
      <c r="D90" s="9">
        <f t="shared" ref="D90:D98" si="30">(C90-ABS(C90-B90))/C90</f>
        <v>0.89555555555555555</v>
      </c>
      <c r="E90" s="4">
        <v>2.36</v>
      </c>
      <c r="G90" s="4">
        <v>2</v>
      </c>
      <c r="H90" s="4">
        <v>166.68</v>
      </c>
      <c r="I90" s="4">
        <v>158</v>
      </c>
      <c r="J90" s="9">
        <f t="shared" ref="J90:J98" si="31">(I90-ABS(I90-H90))/I90</f>
        <v>0.94506329113924048</v>
      </c>
      <c r="K90" s="4">
        <v>1.17</v>
      </c>
      <c r="M90" s="4">
        <v>2</v>
      </c>
      <c r="N90" s="4">
        <v>155.84</v>
      </c>
      <c r="O90" s="5">
        <v>161</v>
      </c>
      <c r="P90" s="9">
        <f t="shared" ref="P90:P98" si="32">(O90-ABS(O90-N90))/O90</f>
        <v>0.96795031055900627</v>
      </c>
      <c r="Q90" s="4">
        <v>1.89</v>
      </c>
      <c r="S90" s="4">
        <v>2</v>
      </c>
      <c r="T90" s="4">
        <v>172.02</v>
      </c>
      <c r="U90" s="4">
        <v>158</v>
      </c>
      <c r="V90" s="9">
        <f t="shared" ref="V90:V98" si="33">(U90-ABS(U90-T90))/U90</f>
        <v>0.91126582278481005</v>
      </c>
      <c r="W90" s="4">
        <v>1.73</v>
      </c>
      <c r="Y90" s="4">
        <v>2</v>
      </c>
      <c r="Z90" s="4">
        <v>170.06</v>
      </c>
      <c r="AA90" s="5">
        <v>161</v>
      </c>
      <c r="AB90" s="9">
        <f t="shared" ref="AB90:AB98" si="34">(AA90-ABS(AA90-Z90))/AA90</f>
        <v>0.94372670807453418</v>
      </c>
      <c r="AC90" s="4">
        <v>1.96</v>
      </c>
    </row>
    <row r="91" spans="1:29" x14ac:dyDescent="0.3">
      <c r="A91" s="4">
        <v>3</v>
      </c>
      <c r="B91" s="19">
        <v>110</v>
      </c>
      <c r="C91" s="5">
        <v>104</v>
      </c>
      <c r="D91" s="9">
        <f t="shared" si="30"/>
        <v>0.94230769230769229</v>
      </c>
      <c r="E91" s="4">
        <v>2.21</v>
      </c>
      <c r="G91" s="4">
        <v>3</v>
      </c>
      <c r="H91" s="4">
        <v>144.65</v>
      </c>
      <c r="I91" s="4">
        <v>174</v>
      </c>
      <c r="J91" s="9">
        <f t="shared" si="31"/>
        <v>0.83132183908045976</v>
      </c>
      <c r="K91" s="4">
        <v>1.22</v>
      </c>
      <c r="M91" s="4">
        <v>3</v>
      </c>
      <c r="N91" s="6">
        <v>186.4</v>
      </c>
      <c r="O91" s="5">
        <v>154</v>
      </c>
      <c r="P91" s="9">
        <f t="shared" si="32"/>
        <v>0.78961038961038954</v>
      </c>
      <c r="Q91" s="4">
        <v>1.77</v>
      </c>
      <c r="S91" s="4">
        <v>3</v>
      </c>
      <c r="T91" s="4">
        <v>141.91</v>
      </c>
      <c r="U91" s="4">
        <v>174</v>
      </c>
      <c r="V91" s="9">
        <f t="shared" si="33"/>
        <v>0.81557471264367809</v>
      </c>
      <c r="W91" s="4">
        <v>1.36</v>
      </c>
      <c r="Y91" s="4">
        <v>3</v>
      </c>
      <c r="Z91" s="6">
        <v>169.88</v>
      </c>
      <c r="AA91" s="5">
        <v>154</v>
      </c>
      <c r="AB91" s="9">
        <f t="shared" si="34"/>
        <v>0.89688311688311695</v>
      </c>
      <c r="AC91" s="4">
        <v>1.35</v>
      </c>
    </row>
    <row r="92" spans="1:29" x14ac:dyDescent="0.3">
      <c r="A92" s="4">
        <v>4</v>
      </c>
      <c r="B92" s="5">
        <v>110.15</v>
      </c>
      <c r="C92" s="5">
        <v>112</v>
      </c>
      <c r="D92" s="9">
        <f t="shared" si="30"/>
        <v>0.98348214285714286</v>
      </c>
      <c r="E92" s="6">
        <v>2.19</v>
      </c>
      <c r="G92" s="4">
        <v>4</v>
      </c>
      <c r="H92" s="4">
        <v>149.13</v>
      </c>
      <c r="I92" s="4">
        <v>163</v>
      </c>
      <c r="J92" s="9">
        <f t="shared" si="31"/>
        <v>0.9149079754601227</v>
      </c>
      <c r="K92" s="4">
        <v>1.25</v>
      </c>
      <c r="M92" s="4">
        <v>4</v>
      </c>
      <c r="N92" s="4">
        <v>193.11</v>
      </c>
      <c r="O92" s="5">
        <v>154</v>
      </c>
      <c r="P92" s="9">
        <f t="shared" si="32"/>
        <v>0.74603896103896095</v>
      </c>
      <c r="Q92" s="4">
        <v>1.73</v>
      </c>
      <c r="S92" s="4">
        <v>4</v>
      </c>
      <c r="T92" s="4">
        <v>150.30000000000001</v>
      </c>
      <c r="U92" s="4">
        <v>163</v>
      </c>
      <c r="V92" s="9">
        <f t="shared" si="33"/>
        <v>0.92208588957055226</v>
      </c>
      <c r="W92" s="4">
        <v>1.37</v>
      </c>
      <c r="Y92" s="4">
        <v>4</v>
      </c>
      <c r="Z92" s="4">
        <v>191.67</v>
      </c>
      <c r="AA92" s="5">
        <v>154</v>
      </c>
      <c r="AB92" s="9">
        <f t="shared" si="34"/>
        <v>0.7553896103896105</v>
      </c>
      <c r="AC92" s="4">
        <v>1.27</v>
      </c>
    </row>
    <row r="93" spans="1:29" x14ac:dyDescent="0.3">
      <c r="A93" s="4">
        <v>5</v>
      </c>
      <c r="B93" s="5">
        <v>90.97</v>
      </c>
      <c r="C93" s="5">
        <v>109</v>
      </c>
      <c r="D93" s="9">
        <f t="shared" si="30"/>
        <v>0.8345871559633028</v>
      </c>
      <c r="E93" s="4">
        <v>2.56</v>
      </c>
      <c r="G93" s="4">
        <v>5</v>
      </c>
      <c r="H93" s="4">
        <v>149.85</v>
      </c>
      <c r="I93" s="4">
        <v>157</v>
      </c>
      <c r="J93" s="9">
        <f t="shared" si="31"/>
        <v>0.9544585987261146</v>
      </c>
      <c r="K93" s="4">
        <v>1.21</v>
      </c>
      <c r="M93" s="4">
        <v>5</v>
      </c>
      <c r="N93" s="4">
        <v>183.81</v>
      </c>
      <c r="O93" s="5">
        <v>160</v>
      </c>
      <c r="P93" s="9">
        <f t="shared" si="32"/>
        <v>0.85118749999999999</v>
      </c>
      <c r="Q93" s="4">
        <v>1.71</v>
      </c>
      <c r="S93" s="4">
        <v>5</v>
      </c>
      <c r="T93" s="4">
        <v>149.25</v>
      </c>
      <c r="U93" s="4">
        <v>157</v>
      </c>
      <c r="V93" s="9">
        <f t="shared" si="33"/>
        <v>0.95063694267515919</v>
      </c>
      <c r="W93" s="4">
        <v>1.51</v>
      </c>
      <c r="Y93" s="4">
        <v>5</v>
      </c>
      <c r="Z93" s="6">
        <v>185.9</v>
      </c>
      <c r="AA93" s="5">
        <v>160</v>
      </c>
      <c r="AB93" s="9">
        <f t="shared" si="34"/>
        <v>0.83812500000000001</v>
      </c>
      <c r="AC93" s="4">
        <v>1.32</v>
      </c>
    </row>
    <row r="94" spans="1:29" x14ac:dyDescent="0.3">
      <c r="A94" s="4">
        <v>6</v>
      </c>
      <c r="B94" s="5">
        <v>96.24</v>
      </c>
      <c r="C94" s="5">
        <v>111</v>
      </c>
      <c r="D94" s="9">
        <f t="shared" si="30"/>
        <v>0.86702702702702694</v>
      </c>
      <c r="E94" s="6">
        <v>2.23</v>
      </c>
      <c r="G94" s="4">
        <v>6</v>
      </c>
      <c r="H94" s="4">
        <v>162.22</v>
      </c>
      <c r="I94" s="4">
        <v>172</v>
      </c>
      <c r="J94" s="9">
        <f t="shared" si="31"/>
        <v>0.94313953488372093</v>
      </c>
      <c r="K94" s="6">
        <v>1.2</v>
      </c>
      <c r="M94" s="4">
        <v>6</v>
      </c>
      <c r="N94" s="4">
        <v>166.48</v>
      </c>
      <c r="O94" s="5">
        <v>156</v>
      </c>
      <c r="P94" s="9">
        <f t="shared" si="32"/>
        <v>0.93282051282051293</v>
      </c>
      <c r="Q94" s="4">
        <v>1.88</v>
      </c>
      <c r="S94" s="4">
        <v>6</v>
      </c>
      <c r="T94" s="4">
        <v>158.59</v>
      </c>
      <c r="U94" s="4">
        <v>172</v>
      </c>
      <c r="V94" s="9">
        <f t="shared" si="33"/>
        <v>0.92203488372093023</v>
      </c>
      <c r="W94" s="6">
        <v>1.61</v>
      </c>
      <c r="Y94" s="4">
        <v>6</v>
      </c>
      <c r="Z94" s="4">
        <v>165.44</v>
      </c>
      <c r="AA94" s="5">
        <v>156</v>
      </c>
      <c r="AB94" s="9">
        <f t="shared" si="34"/>
        <v>0.93948717948717952</v>
      </c>
      <c r="AC94" s="4">
        <v>1.86</v>
      </c>
    </row>
    <row r="95" spans="1:29" x14ac:dyDescent="0.3">
      <c r="A95" s="4">
        <v>7</v>
      </c>
      <c r="B95" s="5">
        <v>103.22</v>
      </c>
      <c r="C95" s="5">
        <v>106</v>
      </c>
      <c r="D95" s="9">
        <f t="shared" si="30"/>
        <v>0.97377358490566035</v>
      </c>
      <c r="E95" s="4">
        <v>2.31</v>
      </c>
      <c r="G95" s="4">
        <v>7</v>
      </c>
      <c r="H95" s="4">
        <v>141.91</v>
      </c>
      <c r="I95" s="4">
        <v>149</v>
      </c>
      <c r="J95" s="9">
        <f t="shared" si="31"/>
        <v>0.95241610738255034</v>
      </c>
      <c r="K95" s="4">
        <v>1.17</v>
      </c>
      <c r="M95" s="4">
        <v>7</v>
      </c>
      <c r="N95" s="4">
        <v>168.18</v>
      </c>
      <c r="O95" s="5">
        <v>153</v>
      </c>
      <c r="P95" s="9">
        <f t="shared" si="32"/>
        <v>0.90078431372549017</v>
      </c>
      <c r="Q95" s="4">
        <v>1.79</v>
      </c>
      <c r="S95" s="4">
        <v>7</v>
      </c>
      <c r="T95" s="4">
        <v>140.54</v>
      </c>
      <c r="U95" s="4">
        <v>149</v>
      </c>
      <c r="V95" s="9">
        <f t="shared" si="33"/>
        <v>0.94322147651006705</v>
      </c>
      <c r="W95" s="4">
        <v>1.45</v>
      </c>
      <c r="Y95" s="4">
        <v>7</v>
      </c>
      <c r="Z95" s="4">
        <v>182.99</v>
      </c>
      <c r="AA95" s="5">
        <v>153</v>
      </c>
      <c r="AB95" s="9">
        <f t="shared" si="34"/>
        <v>0.80398692810457506</v>
      </c>
      <c r="AC95" s="6">
        <v>1.3</v>
      </c>
    </row>
    <row r="96" spans="1:29" x14ac:dyDescent="0.3">
      <c r="A96" s="4">
        <v>8</v>
      </c>
      <c r="B96" s="5">
        <v>99.99</v>
      </c>
      <c r="C96" s="5">
        <v>95</v>
      </c>
      <c r="D96" s="9">
        <f t="shared" si="30"/>
        <v>0.94747368421052636</v>
      </c>
      <c r="E96" s="4">
        <v>2.34</v>
      </c>
      <c r="G96" s="4">
        <v>8</v>
      </c>
      <c r="H96" s="4">
        <v>169.35</v>
      </c>
      <c r="I96" s="4">
        <v>166</v>
      </c>
      <c r="J96" s="9">
        <f t="shared" si="31"/>
        <v>0.97981927710843375</v>
      </c>
      <c r="K96" s="4">
        <v>1.1200000000000001</v>
      </c>
      <c r="M96" s="4">
        <v>8</v>
      </c>
      <c r="N96" s="4">
        <v>170.51</v>
      </c>
      <c r="O96" s="5">
        <v>160</v>
      </c>
      <c r="P96" s="9">
        <f t="shared" si="32"/>
        <v>0.9343125000000001</v>
      </c>
      <c r="Q96" s="6">
        <v>1.7</v>
      </c>
      <c r="S96" s="4">
        <v>8</v>
      </c>
      <c r="T96" s="4">
        <v>158.88999999999999</v>
      </c>
      <c r="U96" s="4">
        <v>166</v>
      </c>
      <c r="V96" s="9">
        <f t="shared" si="33"/>
        <v>0.95716867469879507</v>
      </c>
      <c r="W96" s="6">
        <v>1.5</v>
      </c>
      <c r="Y96" s="4">
        <v>8</v>
      </c>
      <c r="Z96" s="4">
        <v>151.99</v>
      </c>
      <c r="AA96" s="5">
        <v>160</v>
      </c>
      <c r="AB96" s="9">
        <f t="shared" si="34"/>
        <v>0.9499375000000001</v>
      </c>
      <c r="AC96" s="6">
        <v>1.38</v>
      </c>
    </row>
    <row r="97" spans="1:29" x14ac:dyDescent="0.3">
      <c r="A97" s="4">
        <v>9</v>
      </c>
      <c r="B97" s="5">
        <v>118.54</v>
      </c>
      <c r="C97" s="5">
        <v>111</v>
      </c>
      <c r="D97" s="9">
        <f t="shared" si="30"/>
        <v>0.93207207207207199</v>
      </c>
      <c r="E97" s="6">
        <v>2</v>
      </c>
      <c r="G97" s="4">
        <v>9</v>
      </c>
      <c r="H97" s="4">
        <v>186.51</v>
      </c>
      <c r="I97" s="4">
        <v>174</v>
      </c>
      <c r="J97" s="9">
        <f t="shared" si="31"/>
        <v>0.92810344827586211</v>
      </c>
      <c r="K97" s="4">
        <v>1.1100000000000001</v>
      </c>
      <c r="M97" s="4">
        <v>9</v>
      </c>
      <c r="N97" s="6">
        <v>193</v>
      </c>
      <c r="O97" s="5">
        <v>166</v>
      </c>
      <c r="P97" s="9">
        <f t="shared" si="32"/>
        <v>0.83734939759036142</v>
      </c>
      <c r="Q97" s="4">
        <v>1.69</v>
      </c>
      <c r="S97" s="4">
        <v>9</v>
      </c>
      <c r="T97" s="4">
        <v>186.45</v>
      </c>
      <c r="U97" s="4">
        <v>174</v>
      </c>
      <c r="V97" s="9">
        <f t="shared" si="33"/>
        <v>0.92844827586206902</v>
      </c>
      <c r="W97" s="4">
        <v>1.62</v>
      </c>
      <c r="Y97" s="4">
        <v>9</v>
      </c>
      <c r="Z97" s="6">
        <v>195.14</v>
      </c>
      <c r="AA97" s="5">
        <v>166</v>
      </c>
      <c r="AB97" s="9">
        <f t="shared" si="34"/>
        <v>0.82445783132530126</v>
      </c>
      <c r="AC97" s="4">
        <v>1.51</v>
      </c>
    </row>
    <row r="98" spans="1:29" x14ac:dyDescent="0.3">
      <c r="A98" s="4">
        <v>10</v>
      </c>
      <c r="B98" s="5">
        <v>106.65</v>
      </c>
      <c r="C98" s="5">
        <v>102</v>
      </c>
      <c r="D98" s="9">
        <f t="shared" si="30"/>
        <v>0.95441176470588229</v>
      </c>
      <c r="E98" s="6">
        <v>2.08</v>
      </c>
      <c r="G98" s="4">
        <v>10</v>
      </c>
      <c r="H98" s="6">
        <v>140.18</v>
      </c>
      <c r="I98" s="4">
        <v>172</v>
      </c>
      <c r="J98" s="9">
        <f t="shared" si="31"/>
        <v>0.81500000000000006</v>
      </c>
      <c r="K98" s="4">
        <v>1.24</v>
      </c>
      <c r="M98" s="4">
        <v>10</v>
      </c>
      <c r="N98" s="6">
        <v>191.63</v>
      </c>
      <c r="O98" s="5">
        <v>156</v>
      </c>
      <c r="P98" s="9">
        <f t="shared" si="32"/>
        <v>0.77160256410256411</v>
      </c>
      <c r="Q98" s="6">
        <v>1.72</v>
      </c>
      <c r="S98" s="4">
        <v>10</v>
      </c>
      <c r="T98" s="6">
        <v>146.47999999999999</v>
      </c>
      <c r="U98" s="4">
        <v>172</v>
      </c>
      <c r="V98" s="9">
        <f t="shared" si="33"/>
        <v>0.85162790697674418</v>
      </c>
      <c r="W98" s="4">
        <v>1.54</v>
      </c>
      <c r="Y98" s="4">
        <v>10</v>
      </c>
      <c r="Z98" s="6">
        <v>182.95</v>
      </c>
      <c r="AA98" s="5">
        <v>156</v>
      </c>
      <c r="AB98" s="9">
        <f t="shared" si="34"/>
        <v>0.8272435897435898</v>
      </c>
      <c r="AC98" s="6">
        <v>1.32</v>
      </c>
    </row>
    <row r="99" spans="1:29" x14ac:dyDescent="0.3">
      <c r="A99" s="7"/>
      <c r="B99" s="7"/>
      <c r="C99" s="7"/>
      <c r="D99" s="10" t="str">
        <f>TEXT(AVERAGE(D89:D98),"0.0%")&amp; "±" &amp;TEXT(_xlfn.STDEV.S(D89:D98),"0.0%")</f>
        <v>92.0%±5.1%</v>
      </c>
      <c r="E99" s="10">
        <f>AVERAGE(E89:E98)</f>
        <v>2.2640000000000002</v>
      </c>
      <c r="J99" s="10" t="str">
        <f>TEXT(AVERAGE(J89:J98),"0.0%")&amp; "±" &amp;TEXT(_xlfn.STDEV.S(J89:J98),"0.0%")</f>
        <v>92.5%±5.8%</v>
      </c>
      <c r="K99" s="10">
        <f>AVERAGE(K89:K98)</f>
        <v>1.179</v>
      </c>
      <c r="P99" s="10" t="str">
        <f>TEXT(AVERAGE(P89:P98),"0.0%")&amp; "±" &amp;TEXT(_xlfn.STDEV.S(P89:P98),"0.0%")</f>
        <v>87.3%±8.7%</v>
      </c>
      <c r="Q99" s="10">
        <f>AVERAGE(Q89:Q98)</f>
        <v>1.7669999999999999</v>
      </c>
      <c r="V99" s="10" t="str">
        <f>TEXT(AVERAGE(V89:V98),"0.0%")&amp; "±" &amp;TEXT(_xlfn.STDEV.S(V89:V98),"0.0%")</f>
        <v>91.9%±5.1%</v>
      </c>
      <c r="W99" s="10">
        <f>AVERAGE(W89:W98)</f>
        <v>1.488</v>
      </c>
      <c r="AB99" s="10" t="str">
        <f>TEXT(AVERAGE(AB89:AB98),"0.0%")&amp; "±" &amp;TEXT(_xlfn.STDEV.S(AB89:AB98),"0.0%")</f>
        <v>87.6%±7.5%</v>
      </c>
      <c r="AC99" s="10">
        <f>AVERAGE(AC89:AC98)</f>
        <v>1.494</v>
      </c>
    </row>
    <row r="115" spans="7:17" x14ac:dyDescent="0.3">
      <c r="G115" s="17"/>
      <c r="H115" s="17"/>
      <c r="I115" s="17"/>
      <c r="J115" s="17"/>
      <c r="K115" s="17"/>
      <c r="M115" s="17"/>
      <c r="N115" s="17"/>
      <c r="O115" s="17"/>
      <c r="P115" s="17"/>
      <c r="Q115" s="17"/>
    </row>
    <row r="116" spans="7:17" x14ac:dyDescent="0.3">
      <c r="G116" s="11"/>
      <c r="H116" s="11"/>
      <c r="I116" s="11"/>
      <c r="J116" s="11"/>
      <c r="K116" s="11"/>
      <c r="M116" s="11"/>
      <c r="N116" s="11"/>
      <c r="O116" s="11"/>
      <c r="P116" s="11"/>
      <c r="Q116" s="11"/>
    </row>
    <row r="117" spans="7:17" x14ac:dyDescent="0.3">
      <c r="G117" s="7"/>
      <c r="H117" s="7"/>
      <c r="I117" s="8"/>
      <c r="J117" s="12"/>
      <c r="K117" s="7"/>
      <c r="M117" s="7"/>
      <c r="N117" s="7"/>
      <c r="O117" s="7"/>
      <c r="P117" s="12"/>
      <c r="Q117" s="7"/>
    </row>
    <row r="118" spans="7:17" x14ac:dyDescent="0.3">
      <c r="G118" s="7"/>
      <c r="H118" s="7"/>
      <c r="I118" s="8"/>
      <c r="J118" s="12"/>
      <c r="K118" s="7"/>
      <c r="M118" s="7"/>
      <c r="N118" s="7"/>
      <c r="O118" s="7"/>
      <c r="P118" s="12"/>
      <c r="Q118" s="7"/>
    </row>
    <row r="119" spans="7:17" x14ac:dyDescent="0.3">
      <c r="G119" s="7"/>
      <c r="H119" s="7"/>
      <c r="I119" s="8"/>
      <c r="J119" s="12"/>
      <c r="K119" s="7"/>
      <c r="M119" s="7"/>
      <c r="N119" s="7"/>
      <c r="O119" s="7"/>
      <c r="P119" s="12"/>
      <c r="Q119" s="7"/>
    </row>
    <row r="120" spans="7:17" x14ac:dyDescent="0.3">
      <c r="G120" s="7"/>
      <c r="H120" s="7"/>
      <c r="I120" s="8"/>
      <c r="J120" s="12"/>
      <c r="K120" s="7"/>
      <c r="M120" s="7"/>
      <c r="N120" s="7"/>
      <c r="O120" s="7"/>
      <c r="P120" s="12"/>
      <c r="Q120" s="7"/>
    </row>
    <row r="121" spans="7:17" x14ac:dyDescent="0.3">
      <c r="G121" s="7"/>
      <c r="H121" s="7"/>
      <c r="I121" s="8"/>
      <c r="J121" s="12"/>
      <c r="K121" s="7"/>
      <c r="M121" s="7"/>
      <c r="N121" s="7"/>
      <c r="O121" s="7"/>
      <c r="P121" s="12"/>
      <c r="Q121" s="7"/>
    </row>
    <row r="122" spans="7:17" x14ac:dyDescent="0.3">
      <c r="G122" s="7"/>
      <c r="H122" s="7"/>
      <c r="I122" s="8"/>
      <c r="J122" s="12"/>
      <c r="K122" s="7"/>
      <c r="M122" s="7"/>
      <c r="N122" s="7"/>
      <c r="O122" s="7"/>
      <c r="P122" s="12"/>
      <c r="Q122" s="7"/>
    </row>
    <row r="123" spans="7:17" x14ac:dyDescent="0.3">
      <c r="G123" s="7"/>
      <c r="H123" s="7"/>
      <c r="I123" s="8"/>
      <c r="J123" s="12"/>
      <c r="K123" s="7"/>
      <c r="M123" s="7"/>
      <c r="N123" s="7"/>
      <c r="O123" s="7"/>
      <c r="P123" s="12"/>
      <c r="Q123" s="7"/>
    </row>
    <row r="124" spans="7:17" x14ac:dyDescent="0.3">
      <c r="G124" s="7"/>
      <c r="H124" s="7"/>
      <c r="I124" s="8"/>
      <c r="J124" s="12"/>
      <c r="K124" s="7"/>
      <c r="M124" s="7"/>
      <c r="N124" s="7"/>
      <c r="O124" s="7"/>
      <c r="P124" s="12"/>
      <c r="Q124" s="7"/>
    </row>
    <row r="125" spans="7:17" x14ac:dyDescent="0.3">
      <c r="G125" s="7"/>
      <c r="H125" s="7"/>
      <c r="I125" s="8"/>
      <c r="J125" s="12"/>
      <c r="K125" s="7"/>
      <c r="M125" s="7"/>
      <c r="N125" s="7"/>
      <c r="O125" s="7"/>
      <c r="P125" s="12"/>
      <c r="Q125" s="7"/>
    </row>
    <row r="126" spans="7:17" x14ac:dyDescent="0.3">
      <c r="G126" s="7"/>
      <c r="H126" s="13"/>
      <c r="I126" s="8"/>
      <c r="J126" s="12"/>
      <c r="K126" s="7"/>
      <c r="M126" s="7"/>
      <c r="N126" s="13"/>
      <c r="O126" s="7"/>
      <c r="P126" s="12"/>
      <c r="Q126" s="7"/>
    </row>
    <row r="127" spans="7:17" x14ac:dyDescent="0.3">
      <c r="J127" s="11"/>
      <c r="K127" s="11"/>
      <c r="P127" s="11"/>
      <c r="Q127" s="11"/>
    </row>
  </sheetData>
  <mergeCells count="41">
    <mergeCell ref="A1:AC1"/>
    <mergeCell ref="Y3:AC3"/>
    <mergeCell ref="Y59:AC59"/>
    <mergeCell ref="A87:E87"/>
    <mergeCell ref="S87:W87"/>
    <mergeCell ref="Y87:AC87"/>
    <mergeCell ref="S45:W45"/>
    <mergeCell ref="Y45:AC45"/>
    <mergeCell ref="Y31:AC31"/>
    <mergeCell ref="S31:W31"/>
    <mergeCell ref="Y17:AC17"/>
    <mergeCell ref="S17:W17"/>
    <mergeCell ref="G115:K115"/>
    <mergeCell ref="M115:Q115"/>
    <mergeCell ref="A59:E59"/>
    <mergeCell ref="A3:E3"/>
    <mergeCell ref="A17:E17"/>
    <mergeCell ref="A31:E31"/>
    <mergeCell ref="A45:E45"/>
    <mergeCell ref="G3:K3"/>
    <mergeCell ref="M45:Q45"/>
    <mergeCell ref="M59:Q59"/>
    <mergeCell ref="G45:K45"/>
    <mergeCell ref="M3:Q3"/>
    <mergeCell ref="G31:K31"/>
    <mergeCell ref="M31:Q31"/>
    <mergeCell ref="M17:Q17"/>
    <mergeCell ref="A2:E2"/>
    <mergeCell ref="G2:Q2"/>
    <mergeCell ref="S2:AC2"/>
    <mergeCell ref="A73:E73"/>
    <mergeCell ref="G87:K87"/>
    <mergeCell ref="M87:Q87"/>
    <mergeCell ref="G17:K17"/>
    <mergeCell ref="M73:Q73"/>
    <mergeCell ref="G73:K73"/>
    <mergeCell ref="G59:K59"/>
    <mergeCell ref="S3:W3"/>
    <mergeCell ref="Y73:AC73"/>
    <mergeCell ref="S73:W73"/>
    <mergeCell ref="S59:W59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준영 박</dc:creator>
  <cp:lastModifiedBy>준영 박</cp:lastModifiedBy>
  <dcterms:created xsi:type="dcterms:W3CDTF">2025-12-29T10:15:21Z</dcterms:created>
  <dcterms:modified xsi:type="dcterms:W3CDTF">2025-12-30T05:58:12Z</dcterms:modified>
</cp:coreProperties>
</file>