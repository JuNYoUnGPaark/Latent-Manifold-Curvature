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LMC/Auto_Aware/Supervison/"/>
    </mc:Choice>
  </mc:AlternateContent>
  <xr:revisionPtr revIDLastSave="712" documentId="8_{70B05D00-C6D2-4E63-BDBD-E5D45ABB4B8A}" xr6:coauthVersionLast="47" xr6:coauthVersionMax="47" xr10:uidLastSave="{C8505D5F-182D-4B1B-8F0C-80ED5A1CA774}"/>
  <bookViews>
    <workbookView xWindow="-120" yWindow="-120" windowWidth="38640" windowHeight="21120" xr2:uid="{97BF560A-1D51-4AC7-AA5D-8B62EBC04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3" i="1" l="1"/>
  <c r="T104" i="1"/>
  <c r="T105" i="1"/>
  <c r="T106" i="1"/>
  <c r="T107" i="1"/>
  <c r="T108" i="1"/>
  <c r="T109" i="1"/>
  <c r="T110" i="1"/>
  <c r="T111" i="1"/>
  <c r="T102" i="1"/>
  <c r="L103" i="1"/>
  <c r="L104" i="1"/>
  <c r="L105" i="1"/>
  <c r="L106" i="1"/>
  <c r="L107" i="1"/>
  <c r="L108" i="1"/>
  <c r="L109" i="1"/>
  <c r="L110" i="1"/>
  <c r="L111" i="1"/>
  <c r="L102" i="1"/>
  <c r="W112" i="1"/>
  <c r="V112" i="1"/>
  <c r="U112" i="1"/>
  <c r="O112" i="1"/>
  <c r="N112" i="1"/>
  <c r="M112" i="1"/>
  <c r="D89" i="1"/>
  <c r="D90" i="1"/>
  <c r="D91" i="1"/>
  <c r="D92" i="1"/>
  <c r="D93" i="1"/>
  <c r="D94" i="1"/>
  <c r="D95" i="1"/>
  <c r="D96" i="1"/>
  <c r="D97" i="1"/>
  <c r="D88" i="1"/>
  <c r="G98" i="1"/>
  <c r="F98" i="1"/>
  <c r="E98" i="1"/>
  <c r="AJ83" i="1"/>
  <c r="AJ82" i="1"/>
  <c r="AJ81" i="1"/>
  <c r="AJ80" i="1"/>
  <c r="AJ79" i="1"/>
  <c r="AJ78" i="1"/>
  <c r="AJ77" i="1"/>
  <c r="AJ76" i="1"/>
  <c r="AJ75" i="1"/>
  <c r="AJ74" i="1"/>
  <c r="AJ69" i="1"/>
  <c r="AJ68" i="1"/>
  <c r="AJ67" i="1"/>
  <c r="AJ66" i="1"/>
  <c r="AJ65" i="1"/>
  <c r="AJ64" i="1"/>
  <c r="AJ63" i="1"/>
  <c r="AJ62" i="1"/>
  <c r="AJ61" i="1"/>
  <c r="AJ60" i="1"/>
  <c r="AJ70" i="1" s="1"/>
  <c r="AJ55" i="1"/>
  <c r="AJ54" i="1"/>
  <c r="AJ53" i="1"/>
  <c r="AJ52" i="1"/>
  <c r="AJ51" i="1"/>
  <c r="AJ50" i="1"/>
  <c r="AJ49" i="1"/>
  <c r="AJ48" i="1"/>
  <c r="AJ47" i="1"/>
  <c r="AJ46" i="1"/>
  <c r="AJ41" i="1"/>
  <c r="AJ40" i="1"/>
  <c r="AJ39" i="1"/>
  <c r="AJ38" i="1"/>
  <c r="AJ37" i="1"/>
  <c r="AJ36" i="1"/>
  <c r="AJ35" i="1"/>
  <c r="AJ34" i="1"/>
  <c r="AJ33" i="1"/>
  <c r="AJ32" i="1"/>
  <c r="AJ27" i="1"/>
  <c r="AJ26" i="1"/>
  <c r="AJ25" i="1"/>
  <c r="AJ24" i="1"/>
  <c r="AJ23" i="1"/>
  <c r="AJ22" i="1"/>
  <c r="AJ21" i="1"/>
  <c r="AJ20" i="1"/>
  <c r="AJ19" i="1"/>
  <c r="AJ18" i="1"/>
  <c r="AJ13" i="1"/>
  <c r="AJ12" i="1"/>
  <c r="AJ11" i="1"/>
  <c r="AJ10" i="1"/>
  <c r="AJ9" i="1"/>
  <c r="AJ8" i="1"/>
  <c r="AJ7" i="1"/>
  <c r="AJ6" i="1"/>
  <c r="AJ5" i="1"/>
  <c r="AJ4" i="1"/>
  <c r="AB83" i="1"/>
  <c r="AB82" i="1"/>
  <c r="AB81" i="1"/>
  <c r="AB80" i="1"/>
  <c r="AB79" i="1"/>
  <c r="AB78" i="1"/>
  <c r="AB77" i="1"/>
  <c r="AB76" i="1"/>
  <c r="AB75" i="1"/>
  <c r="AB74" i="1"/>
  <c r="AB69" i="1"/>
  <c r="AB68" i="1"/>
  <c r="AB67" i="1"/>
  <c r="AB66" i="1"/>
  <c r="AB65" i="1"/>
  <c r="AB64" i="1"/>
  <c r="AB63" i="1"/>
  <c r="AB62" i="1"/>
  <c r="AB61" i="1"/>
  <c r="AB60" i="1"/>
  <c r="AB70" i="1" s="1"/>
  <c r="AB55" i="1"/>
  <c r="AB54" i="1"/>
  <c r="AB53" i="1"/>
  <c r="AB52" i="1"/>
  <c r="AB51" i="1"/>
  <c r="AB50" i="1"/>
  <c r="AB49" i="1"/>
  <c r="AB48" i="1"/>
  <c r="AB47" i="1"/>
  <c r="AB46" i="1"/>
  <c r="AB41" i="1"/>
  <c r="AB40" i="1"/>
  <c r="AB39" i="1"/>
  <c r="AB38" i="1"/>
  <c r="AB37" i="1"/>
  <c r="AB36" i="1"/>
  <c r="AB35" i="1"/>
  <c r="AB34" i="1"/>
  <c r="AB33" i="1"/>
  <c r="AB32" i="1"/>
  <c r="AB27" i="1"/>
  <c r="AB26" i="1"/>
  <c r="AB25" i="1"/>
  <c r="AB24" i="1"/>
  <c r="AB23" i="1"/>
  <c r="AB22" i="1"/>
  <c r="AB21" i="1"/>
  <c r="AB20" i="1"/>
  <c r="AB19" i="1"/>
  <c r="AB18" i="1"/>
  <c r="AB13" i="1"/>
  <c r="AB12" i="1"/>
  <c r="AB11" i="1"/>
  <c r="AB10" i="1"/>
  <c r="AB9" i="1"/>
  <c r="AB8" i="1"/>
  <c r="AB7" i="1"/>
  <c r="AB6" i="1"/>
  <c r="AB5" i="1"/>
  <c r="AB4" i="1"/>
  <c r="T97" i="1"/>
  <c r="T96" i="1"/>
  <c r="T95" i="1"/>
  <c r="T94" i="1"/>
  <c r="T93" i="1"/>
  <c r="T92" i="1"/>
  <c r="T91" i="1"/>
  <c r="T90" i="1"/>
  <c r="T89" i="1"/>
  <c r="T88" i="1"/>
  <c r="T83" i="1"/>
  <c r="T82" i="1"/>
  <c r="T81" i="1"/>
  <c r="T80" i="1"/>
  <c r="T79" i="1"/>
  <c r="T78" i="1"/>
  <c r="T77" i="1"/>
  <c r="T76" i="1"/>
  <c r="T75" i="1"/>
  <c r="T74" i="1"/>
  <c r="T69" i="1"/>
  <c r="T68" i="1"/>
  <c r="T67" i="1"/>
  <c r="T66" i="1"/>
  <c r="T65" i="1"/>
  <c r="T64" i="1"/>
  <c r="T63" i="1"/>
  <c r="T62" i="1"/>
  <c r="T61" i="1"/>
  <c r="T60" i="1"/>
  <c r="T55" i="1"/>
  <c r="T54" i="1"/>
  <c r="T53" i="1"/>
  <c r="T52" i="1"/>
  <c r="T51" i="1"/>
  <c r="T50" i="1"/>
  <c r="T49" i="1"/>
  <c r="T48" i="1"/>
  <c r="T47" i="1"/>
  <c r="T46" i="1"/>
  <c r="T41" i="1"/>
  <c r="T40" i="1"/>
  <c r="T39" i="1"/>
  <c r="T38" i="1"/>
  <c r="T37" i="1"/>
  <c r="T36" i="1"/>
  <c r="T35" i="1"/>
  <c r="T34" i="1"/>
  <c r="T33" i="1"/>
  <c r="T32" i="1"/>
  <c r="T27" i="1"/>
  <c r="T26" i="1"/>
  <c r="T25" i="1"/>
  <c r="T24" i="1"/>
  <c r="T23" i="1"/>
  <c r="T22" i="1"/>
  <c r="T21" i="1"/>
  <c r="T20" i="1"/>
  <c r="T19" i="1"/>
  <c r="T18" i="1"/>
  <c r="T13" i="1"/>
  <c r="T12" i="1"/>
  <c r="T11" i="1"/>
  <c r="T10" i="1"/>
  <c r="T9" i="1"/>
  <c r="T8" i="1"/>
  <c r="T7" i="1"/>
  <c r="T6" i="1"/>
  <c r="T5" i="1"/>
  <c r="T4" i="1"/>
  <c r="L97" i="1"/>
  <c r="L96" i="1"/>
  <c r="L95" i="1"/>
  <c r="L94" i="1"/>
  <c r="L93" i="1"/>
  <c r="L92" i="1"/>
  <c r="L91" i="1"/>
  <c r="L90" i="1"/>
  <c r="L89" i="1"/>
  <c r="L88" i="1"/>
  <c r="L83" i="1"/>
  <c r="L82" i="1"/>
  <c r="L81" i="1"/>
  <c r="L80" i="1"/>
  <c r="L79" i="1"/>
  <c r="L78" i="1"/>
  <c r="L77" i="1"/>
  <c r="L76" i="1"/>
  <c r="L75" i="1"/>
  <c r="L74" i="1"/>
  <c r="L69" i="1"/>
  <c r="L68" i="1"/>
  <c r="L67" i="1"/>
  <c r="L66" i="1"/>
  <c r="L65" i="1"/>
  <c r="L64" i="1"/>
  <c r="L63" i="1"/>
  <c r="L62" i="1"/>
  <c r="L61" i="1"/>
  <c r="L60" i="1"/>
  <c r="L55" i="1"/>
  <c r="L54" i="1"/>
  <c r="L53" i="1"/>
  <c r="L52" i="1"/>
  <c r="L51" i="1"/>
  <c r="L50" i="1"/>
  <c r="L49" i="1"/>
  <c r="L48" i="1"/>
  <c r="L47" i="1"/>
  <c r="L46" i="1"/>
  <c r="L41" i="1"/>
  <c r="L40" i="1"/>
  <c r="L39" i="1"/>
  <c r="L38" i="1"/>
  <c r="L37" i="1"/>
  <c r="L36" i="1"/>
  <c r="L35" i="1"/>
  <c r="L34" i="1"/>
  <c r="L33" i="1"/>
  <c r="L32" i="1"/>
  <c r="L27" i="1"/>
  <c r="L26" i="1"/>
  <c r="L25" i="1"/>
  <c r="L24" i="1"/>
  <c r="L23" i="1"/>
  <c r="L22" i="1"/>
  <c r="L21" i="1"/>
  <c r="L20" i="1"/>
  <c r="L19" i="1"/>
  <c r="L18" i="1"/>
  <c r="L13" i="1"/>
  <c r="L12" i="1"/>
  <c r="L11" i="1"/>
  <c r="L10" i="1"/>
  <c r="L9" i="1"/>
  <c r="L8" i="1"/>
  <c r="L7" i="1"/>
  <c r="L6" i="1"/>
  <c r="L5" i="1"/>
  <c r="L4" i="1"/>
  <c r="D83" i="1"/>
  <c r="D82" i="1"/>
  <c r="D81" i="1"/>
  <c r="D80" i="1"/>
  <c r="D79" i="1"/>
  <c r="D78" i="1"/>
  <c r="D77" i="1"/>
  <c r="D76" i="1"/>
  <c r="D75" i="1"/>
  <c r="D74" i="1"/>
  <c r="D69" i="1"/>
  <c r="D68" i="1"/>
  <c r="D67" i="1"/>
  <c r="D66" i="1"/>
  <c r="D65" i="1"/>
  <c r="D64" i="1"/>
  <c r="D63" i="1"/>
  <c r="D62" i="1"/>
  <c r="D61" i="1"/>
  <c r="D60" i="1"/>
  <c r="D55" i="1"/>
  <c r="D54" i="1"/>
  <c r="D53" i="1"/>
  <c r="D52" i="1"/>
  <c r="D51" i="1"/>
  <c r="D50" i="1"/>
  <c r="D49" i="1"/>
  <c r="D48" i="1"/>
  <c r="D47" i="1"/>
  <c r="D46" i="1"/>
  <c r="D41" i="1"/>
  <c r="D40" i="1"/>
  <c r="D39" i="1"/>
  <c r="D38" i="1"/>
  <c r="D37" i="1"/>
  <c r="D36" i="1"/>
  <c r="D35" i="1"/>
  <c r="D34" i="1"/>
  <c r="D33" i="1"/>
  <c r="D32" i="1"/>
  <c r="D19" i="1"/>
  <c r="D20" i="1"/>
  <c r="D21" i="1"/>
  <c r="D22" i="1"/>
  <c r="D23" i="1"/>
  <c r="D24" i="1"/>
  <c r="D25" i="1"/>
  <c r="D26" i="1"/>
  <c r="D27" i="1"/>
  <c r="D18" i="1"/>
  <c r="D5" i="1"/>
  <c r="D6" i="1"/>
  <c r="D7" i="1"/>
  <c r="D8" i="1"/>
  <c r="D9" i="1"/>
  <c r="D10" i="1"/>
  <c r="D11" i="1"/>
  <c r="D12" i="1"/>
  <c r="D13" i="1"/>
  <c r="D4" i="1"/>
  <c r="T112" i="1" l="1"/>
  <c r="AB56" i="1"/>
  <c r="AJ56" i="1"/>
  <c r="L112" i="1"/>
  <c r="AB42" i="1"/>
  <c r="AJ42" i="1"/>
  <c r="AB28" i="1"/>
  <c r="AJ28" i="1"/>
  <c r="D98" i="1"/>
  <c r="AB14" i="1"/>
  <c r="AJ14" i="1"/>
  <c r="L28" i="1"/>
  <c r="T14" i="1"/>
  <c r="T98" i="1"/>
  <c r="AB84" i="1"/>
  <c r="AJ84" i="1"/>
  <c r="T84" i="1"/>
  <c r="L98" i="1"/>
  <c r="T70" i="1"/>
  <c r="L14" i="1"/>
  <c r="T56" i="1"/>
  <c r="T42" i="1"/>
  <c r="T28" i="1"/>
  <c r="L84" i="1"/>
  <c r="L70" i="1"/>
  <c r="L56" i="1"/>
  <c r="D84" i="1"/>
  <c r="D28" i="1"/>
  <c r="L42" i="1"/>
  <c r="D14" i="1"/>
  <c r="D70" i="1"/>
  <c r="D42" i="1"/>
  <c r="D56" i="1"/>
  <c r="AM84" i="1"/>
  <c r="AL84" i="1"/>
  <c r="AK84" i="1"/>
  <c r="AE84" i="1"/>
  <c r="AD84" i="1"/>
  <c r="AC84" i="1"/>
  <c r="AM70" i="1"/>
  <c r="AL70" i="1"/>
  <c r="AK70" i="1"/>
  <c r="AE70" i="1"/>
  <c r="AD70" i="1"/>
  <c r="AC70" i="1"/>
  <c r="AM56" i="1"/>
  <c r="AL56" i="1"/>
  <c r="AK56" i="1"/>
  <c r="AE56" i="1"/>
  <c r="AD56" i="1"/>
  <c r="AC56" i="1"/>
  <c r="AM42" i="1"/>
  <c r="AL42" i="1"/>
  <c r="AK42" i="1"/>
  <c r="AE42" i="1"/>
  <c r="AD42" i="1"/>
  <c r="AC42" i="1"/>
  <c r="AM28" i="1"/>
  <c r="AL28" i="1"/>
  <c r="AK28" i="1"/>
  <c r="AE28" i="1"/>
  <c r="AD28" i="1"/>
  <c r="AC28" i="1"/>
  <c r="AM14" i="1"/>
  <c r="AL14" i="1"/>
  <c r="AK14" i="1"/>
  <c r="AE14" i="1"/>
  <c r="AD14" i="1"/>
  <c r="AC14" i="1"/>
  <c r="W98" i="1"/>
  <c r="V98" i="1"/>
  <c r="U98" i="1"/>
  <c r="O98" i="1"/>
  <c r="N98" i="1"/>
  <c r="M98" i="1"/>
  <c r="W84" i="1"/>
  <c r="V84" i="1"/>
  <c r="U84" i="1"/>
  <c r="O84" i="1"/>
  <c r="N84" i="1"/>
  <c r="M84" i="1"/>
  <c r="W70" i="1"/>
  <c r="V70" i="1"/>
  <c r="U70" i="1"/>
  <c r="O70" i="1"/>
  <c r="N70" i="1"/>
  <c r="M70" i="1"/>
  <c r="W56" i="1"/>
  <c r="V56" i="1"/>
  <c r="U56" i="1"/>
  <c r="O56" i="1"/>
  <c r="N56" i="1"/>
  <c r="M56" i="1"/>
  <c r="W42" i="1"/>
  <c r="V42" i="1"/>
  <c r="U42" i="1"/>
  <c r="O42" i="1"/>
  <c r="N42" i="1"/>
  <c r="M42" i="1"/>
  <c r="W28" i="1"/>
  <c r="V28" i="1"/>
  <c r="U28" i="1"/>
  <c r="O28" i="1"/>
  <c r="N28" i="1"/>
  <c r="M28" i="1"/>
  <c r="W14" i="1"/>
  <c r="V14" i="1"/>
  <c r="U14" i="1"/>
  <c r="O14" i="1"/>
  <c r="N14" i="1"/>
  <c r="M14" i="1"/>
  <c r="G84" i="1"/>
  <c r="F84" i="1"/>
  <c r="E84" i="1"/>
  <c r="G70" i="1"/>
  <c r="F70" i="1"/>
  <c r="E70" i="1"/>
  <c r="G56" i="1"/>
  <c r="F56" i="1"/>
  <c r="E56" i="1"/>
  <c r="G42" i="1"/>
  <c r="F42" i="1"/>
  <c r="E42" i="1"/>
  <c r="G28" i="1"/>
  <c r="F28" i="1"/>
  <c r="E28" i="1"/>
  <c r="G14" i="1"/>
  <c r="F14" i="1"/>
  <c r="E14" i="1"/>
</calcChain>
</file>

<file path=xl/sharedStrings.xml><?xml version="1.0" encoding="utf-8"?>
<sst xmlns="http://schemas.openxmlformats.org/spreadsheetml/2006/main" count="280" uniqueCount="30">
  <si>
    <t>Subject_ID</t>
    <phoneticPr fontId="1" type="noConversion"/>
  </si>
  <si>
    <t>Pred</t>
    <phoneticPr fontId="1" type="noConversion"/>
  </si>
  <si>
    <t>GT</t>
    <phoneticPr fontId="1" type="noConversion"/>
  </si>
  <si>
    <t>MAE</t>
    <phoneticPr fontId="1" type="noConversion"/>
  </si>
  <si>
    <t>k_hat</t>
    <phoneticPr fontId="1" type="noConversion"/>
  </si>
  <si>
    <t>entropy</t>
    <phoneticPr fontId="1" type="noConversion"/>
  </si>
  <si>
    <t>Walking</t>
    <phoneticPr fontId="1" type="noConversion"/>
  </si>
  <si>
    <t>Frontal elevation of arms</t>
    <phoneticPr fontId="1" type="noConversion"/>
  </si>
  <si>
    <t>Knees bending</t>
    <phoneticPr fontId="1" type="noConversion"/>
  </si>
  <si>
    <t>Waist bends forward</t>
    <phoneticPr fontId="1" type="noConversion"/>
  </si>
  <si>
    <t>Jump front and back</t>
    <phoneticPr fontId="1" type="noConversion"/>
  </si>
  <si>
    <t>Running</t>
    <phoneticPr fontId="1" type="noConversion"/>
  </si>
  <si>
    <t>Waist bends forward -&gt; Frontal elevation of arms</t>
    <phoneticPr fontId="1" type="noConversion"/>
  </si>
  <si>
    <t>Frontal elevation of arms -&gt; Waist bends forward</t>
    <phoneticPr fontId="1" type="noConversion"/>
  </si>
  <si>
    <t>Waist bends forward -&gt; Knees bending</t>
    <phoneticPr fontId="1" type="noConversion"/>
  </si>
  <si>
    <t>Knees bending -&gt; Waist bends forward</t>
    <phoneticPr fontId="1" type="noConversion"/>
  </si>
  <si>
    <t>Frontal elevation of arms -&gt; Knees bending</t>
    <phoneticPr fontId="1" type="noConversion"/>
  </si>
  <si>
    <t>Knees bending -&gt; Frontal elevation of arms</t>
    <phoneticPr fontId="1" type="noConversion"/>
  </si>
  <si>
    <t>Knees bending -&gt; Jump front and back</t>
    <phoneticPr fontId="1" type="noConversion"/>
  </si>
  <si>
    <t>Jump front and back -&gt; Knees bending</t>
    <phoneticPr fontId="1" type="noConversion"/>
  </si>
  <si>
    <t>Waist bends forward -&gt; Jump front and back</t>
    <phoneticPr fontId="1" type="noConversion"/>
  </si>
  <si>
    <t>Jump front and back -&gt; Waist bends forward</t>
    <phoneticPr fontId="1" type="noConversion"/>
  </si>
  <si>
    <t>Frontal elevation of arms -&gt; Jump front and back</t>
    <phoneticPr fontId="1" type="noConversion"/>
  </si>
  <si>
    <t>Jump front and back -&gt; Frontal elevation of arms</t>
    <phoneticPr fontId="1" type="noConversion"/>
  </si>
  <si>
    <t>Walking -&gt; Running</t>
    <phoneticPr fontId="1" type="noConversion"/>
  </si>
  <si>
    <t>Running -&gt; Walking</t>
    <phoneticPr fontId="1" type="noConversion"/>
  </si>
  <si>
    <t>Acc</t>
    <phoneticPr fontId="1" type="noConversion"/>
  </si>
  <si>
    <t>Jogging</t>
    <phoneticPr fontId="1" type="noConversion"/>
  </si>
  <si>
    <t>Jogging -&gt; Running</t>
    <phoneticPr fontId="1" type="noConversion"/>
  </si>
  <si>
    <t>Running -&gt; Jogging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</si>
</sst>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11"/>
      <color theme="1"/>
      <name val="Noto Serif KR"/>
      <family val="1"/>
      <charset val="129"/>
    </font>
    <font>
      <sz val="11"/>
      <color theme="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B3BE-E745-4439-AD5A-959419BEB23D}">
  <dimension ref="A1:AN126"/>
  <sheetViews>
    <sheetView tabSelected="1" zoomScaleNormal="100" workbookViewId="0">
      <selection activeCell="H19" sqref="H19"/>
    </sheetView>
  </sheetViews>
  <sheetFormatPr defaultRowHeight="18" x14ac:dyDescent="0.3"/>
  <cols>
    <col min="1" max="3" width="12.375" style="2" customWidth="1"/>
    <col min="4" max="4" width="14.125" style="2" customWidth="1"/>
    <col min="5" max="11" width="12.375" style="2" customWidth="1"/>
    <col min="12" max="12" width="14.125" style="2" customWidth="1"/>
    <col min="13" max="15" width="12.375" style="2" customWidth="1"/>
    <col min="16" max="16" width="4" style="2" customWidth="1"/>
    <col min="17" max="19" width="12.375" style="2" customWidth="1"/>
    <col min="20" max="20" width="14.125" style="2" customWidth="1"/>
    <col min="21" max="27" width="12.375" style="2" customWidth="1"/>
    <col min="28" max="28" width="14.125" style="2" customWidth="1"/>
    <col min="29" max="31" width="12.375" style="2" customWidth="1"/>
    <col min="32" max="32" width="4" style="2" customWidth="1"/>
    <col min="33" max="35" width="12.375" style="2" customWidth="1"/>
    <col min="36" max="36" width="14.125" style="2" customWidth="1"/>
    <col min="37" max="39" width="12.375" style="2" customWidth="1"/>
  </cols>
  <sheetData>
    <row r="1" spans="1:40" ht="34.5" customHeight="1" x14ac:dyDescent="0.3">
      <c r="A1" s="21"/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40" x14ac:dyDescent="0.3">
      <c r="A2" s="13" t="s">
        <v>6</v>
      </c>
      <c r="B2" s="13"/>
      <c r="C2" s="13"/>
      <c r="D2" s="13"/>
      <c r="E2" s="13"/>
      <c r="F2" s="13"/>
      <c r="G2" s="13"/>
      <c r="I2" s="12" t="s">
        <v>12</v>
      </c>
      <c r="J2" s="12"/>
      <c r="K2" s="12"/>
      <c r="L2" s="12"/>
      <c r="M2" s="12"/>
      <c r="N2" s="12"/>
      <c r="O2" s="12"/>
      <c r="Q2" s="12" t="s">
        <v>13</v>
      </c>
      <c r="R2" s="12"/>
      <c r="S2" s="12"/>
      <c r="T2" s="12"/>
      <c r="U2" s="12"/>
      <c r="V2" s="12"/>
      <c r="W2" s="12"/>
      <c r="Y2" s="11" t="s">
        <v>12</v>
      </c>
      <c r="Z2" s="11"/>
      <c r="AA2" s="11"/>
      <c r="AB2" s="11"/>
      <c r="AC2" s="11"/>
      <c r="AD2" s="11"/>
      <c r="AE2" s="11"/>
      <c r="AG2" s="11" t="s">
        <v>13</v>
      </c>
      <c r="AH2" s="11"/>
      <c r="AI2" s="11"/>
      <c r="AJ2" s="11"/>
      <c r="AK2" s="11"/>
      <c r="AL2" s="11"/>
      <c r="AM2" s="11"/>
    </row>
    <row r="3" spans="1:40" x14ac:dyDescent="0.3">
      <c r="A3" s="3" t="s">
        <v>0</v>
      </c>
      <c r="B3" s="3" t="s">
        <v>1</v>
      </c>
      <c r="C3" s="3" t="s">
        <v>2</v>
      </c>
      <c r="D3" s="3" t="s">
        <v>26</v>
      </c>
      <c r="E3" s="3" t="s">
        <v>3</v>
      </c>
      <c r="F3" s="3" t="s">
        <v>4</v>
      </c>
      <c r="G3" s="3" t="s">
        <v>5</v>
      </c>
      <c r="I3" s="3" t="s">
        <v>0</v>
      </c>
      <c r="J3" s="3" t="s">
        <v>1</v>
      </c>
      <c r="K3" s="3" t="s">
        <v>2</v>
      </c>
      <c r="L3" s="3" t="s">
        <v>26</v>
      </c>
      <c r="M3" s="3" t="s">
        <v>3</v>
      </c>
      <c r="N3" s="3" t="s">
        <v>4</v>
      </c>
      <c r="O3" s="3" t="s">
        <v>5</v>
      </c>
      <c r="Q3" s="3" t="s">
        <v>0</v>
      </c>
      <c r="R3" s="3" t="s">
        <v>1</v>
      </c>
      <c r="S3" s="3" t="s">
        <v>2</v>
      </c>
      <c r="T3" s="3" t="s">
        <v>26</v>
      </c>
      <c r="U3" s="3" t="s">
        <v>3</v>
      </c>
      <c r="V3" s="3" t="s">
        <v>4</v>
      </c>
      <c r="W3" s="3" t="s">
        <v>5</v>
      </c>
      <c r="Y3" s="3" t="s">
        <v>0</v>
      </c>
      <c r="Z3" s="3" t="s">
        <v>1</v>
      </c>
      <c r="AA3" s="3" t="s">
        <v>2</v>
      </c>
      <c r="AB3" s="3" t="s">
        <v>26</v>
      </c>
      <c r="AC3" s="3" t="s">
        <v>3</v>
      </c>
      <c r="AD3" s="3" t="s">
        <v>4</v>
      </c>
      <c r="AE3" s="3" t="s">
        <v>5</v>
      </c>
      <c r="AG3" s="3" t="s">
        <v>0</v>
      </c>
      <c r="AH3" s="3" t="s">
        <v>1</v>
      </c>
      <c r="AI3" s="3" t="s">
        <v>2</v>
      </c>
      <c r="AJ3" s="3" t="s">
        <v>26</v>
      </c>
      <c r="AK3" s="3" t="s">
        <v>3</v>
      </c>
      <c r="AL3" s="3" t="s">
        <v>4</v>
      </c>
      <c r="AM3" s="3" t="s">
        <v>5</v>
      </c>
    </row>
    <row r="4" spans="1:40" x14ac:dyDescent="0.3">
      <c r="A4" s="4">
        <v>1</v>
      </c>
      <c r="B4" s="5">
        <v>115.5</v>
      </c>
      <c r="C4" s="5">
        <v>113</v>
      </c>
      <c r="D4" s="9">
        <f>(C4-ABS(C4-B4))/C4</f>
        <v>0.97787610619469023</v>
      </c>
      <c r="E4" s="4">
        <v>2.52</v>
      </c>
      <c r="F4" s="4">
        <v>1.45</v>
      </c>
      <c r="G4" s="4">
        <v>0.43</v>
      </c>
      <c r="I4" s="4">
        <v>1</v>
      </c>
      <c r="J4" s="4">
        <v>17.55</v>
      </c>
      <c r="K4" s="4">
        <v>20</v>
      </c>
      <c r="L4" s="9">
        <f>(K4-ABS(K4-J4))/K4</f>
        <v>0.87750000000000006</v>
      </c>
      <c r="M4" s="4">
        <v>2.4500000000000002</v>
      </c>
      <c r="N4" s="4">
        <v>1.04</v>
      </c>
      <c r="O4" s="4">
        <v>8.5000000000000006E-2</v>
      </c>
      <c r="Q4" s="4">
        <v>1</v>
      </c>
      <c r="R4" s="4">
        <v>18.57</v>
      </c>
      <c r="S4" s="4">
        <v>21</v>
      </c>
      <c r="T4" s="9">
        <f>(S4-ABS(S4-R4))/S4</f>
        <v>0.88428571428571434</v>
      </c>
      <c r="U4" s="4">
        <v>2.4300000000000002</v>
      </c>
      <c r="V4" s="4">
        <v>1</v>
      </c>
      <c r="W4" s="4">
        <v>1.4999999999999999E-2</v>
      </c>
      <c r="Y4" s="4">
        <v>1</v>
      </c>
      <c r="Z4" s="4">
        <v>19.03</v>
      </c>
      <c r="AA4" s="4">
        <v>20</v>
      </c>
      <c r="AB4" s="9">
        <f>(AA4-ABS(AA4-Z4))/AA4</f>
        <v>0.95150000000000001</v>
      </c>
      <c r="AC4" s="4">
        <v>0.97</v>
      </c>
      <c r="AD4" s="4">
        <v>1.04</v>
      </c>
      <c r="AE4" s="4">
        <v>9.4E-2</v>
      </c>
      <c r="AG4" s="4">
        <v>1</v>
      </c>
      <c r="AH4" s="4">
        <v>27.27</v>
      </c>
      <c r="AI4" s="4">
        <v>21</v>
      </c>
      <c r="AJ4" s="9">
        <f>(AI4-ABS(AI4-AH4))/AI4</f>
        <v>0.7014285714285714</v>
      </c>
      <c r="AK4" s="4">
        <v>6.27</v>
      </c>
      <c r="AL4" s="4">
        <v>1.01</v>
      </c>
      <c r="AM4" s="4">
        <v>2.5999999999999999E-2</v>
      </c>
      <c r="AN4" s="1"/>
    </row>
    <row r="5" spans="1:40" x14ac:dyDescent="0.3">
      <c r="A5" s="4">
        <v>2</v>
      </c>
      <c r="B5" s="5">
        <v>105</v>
      </c>
      <c r="C5" s="5">
        <v>99</v>
      </c>
      <c r="D5" s="9">
        <f t="shared" ref="D5:D13" si="0">(C5-ABS(C5-B5))/C5</f>
        <v>0.93939393939393945</v>
      </c>
      <c r="E5" s="4">
        <v>6.04</v>
      </c>
      <c r="F5" s="4">
        <v>1.33</v>
      </c>
      <c r="G5" s="4">
        <v>0.36799999999999999</v>
      </c>
      <c r="I5" s="4">
        <v>2</v>
      </c>
      <c r="J5" s="4">
        <v>18.64</v>
      </c>
      <c r="K5" s="4">
        <v>20</v>
      </c>
      <c r="L5" s="9">
        <f t="shared" ref="L5:L13" si="1">(K5-ABS(K5-J5))/K5</f>
        <v>0.93200000000000005</v>
      </c>
      <c r="M5" s="4">
        <v>1.36</v>
      </c>
      <c r="N5" s="4">
        <v>1.1200000000000001</v>
      </c>
      <c r="O5" s="4">
        <v>0.16600000000000001</v>
      </c>
      <c r="Q5" s="4">
        <v>2</v>
      </c>
      <c r="R5" s="4">
        <v>18.34</v>
      </c>
      <c r="S5" s="4">
        <v>19</v>
      </c>
      <c r="T5" s="9">
        <f t="shared" ref="T5:T13" si="2">(S5-ABS(S5-R5))/S5</f>
        <v>0.96526315789473682</v>
      </c>
      <c r="U5" s="4">
        <v>0.66</v>
      </c>
      <c r="V5" s="4">
        <v>1.01</v>
      </c>
      <c r="W5" s="4">
        <v>1.7999999999999999E-2</v>
      </c>
      <c r="Y5" s="4">
        <v>2</v>
      </c>
      <c r="Z5" s="4">
        <v>19.239999999999998</v>
      </c>
      <c r="AA5" s="4">
        <v>20</v>
      </c>
      <c r="AB5" s="9">
        <f t="shared" ref="AB5:AB13" si="3">(AA5-ABS(AA5-Z5))/AA5</f>
        <v>0.96199999999999997</v>
      </c>
      <c r="AC5" s="4">
        <v>0.76</v>
      </c>
      <c r="AD5" s="4">
        <v>1.02</v>
      </c>
      <c r="AE5" s="4">
        <v>5.2999999999999999E-2</v>
      </c>
      <c r="AG5" s="4">
        <v>2</v>
      </c>
      <c r="AH5" s="4">
        <v>17.649999999999999</v>
      </c>
      <c r="AI5" s="4">
        <v>19</v>
      </c>
      <c r="AJ5" s="9">
        <f t="shared" ref="AJ5:AJ13" si="4">(AI5-ABS(AI5-AH5))/AI5</f>
        <v>0.92894736842105252</v>
      </c>
      <c r="AK5" s="4">
        <v>1.35</v>
      </c>
      <c r="AL5" s="4">
        <v>1.01</v>
      </c>
      <c r="AM5" s="4">
        <v>3.6999999999999998E-2</v>
      </c>
    </row>
    <row r="6" spans="1:40" x14ac:dyDescent="0.3">
      <c r="A6" s="4">
        <v>3</v>
      </c>
      <c r="B6" s="5">
        <v>105.4</v>
      </c>
      <c r="C6" s="5">
        <v>104</v>
      </c>
      <c r="D6" s="9">
        <f t="shared" si="0"/>
        <v>0.98653846153846148</v>
      </c>
      <c r="E6" s="4">
        <v>1.43</v>
      </c>
      <c r="F6" s="4">
        <v>1.39</v>
      </c>
      <c r="G6" s="4">
        <v>0.42499999999999999</v>
      </c>
      <c r="I6" s="4">
        <v>3</v>
      </c>
      <c r="J6" s="4">
        <v>19.14</v>
      </c>
      <c r="K6" s="4">
        <v>20</v>
      </c>
      <c r="L6" s="9">
        <f t="shared" si="1"/>
        <v>0.95700000000000007</v>
      </c>
      <c r="M6" s="4">
        <v>0.85</v>
      </c>
      <c r="N6" s="4">
        <v>1.1200000000000001</v>
      </c>
      <c r="O6" s="4">
        <v>0.16800000000000001</v>
      </c>
      <c r="Q6" s="4">
        <v>3</v>
      </c>
      <c r="R6" s="4">
        <v>20.71</v>
      </c>
      <c r="S6" s="4">
        <v>21</v>
      </c>
      <c r="T6" s="9">
        <f t="shared" si="2"/>
        <v>0.98619047619047628</v>
      </c>
      <c r="U6" s="4">
        <v>0.28999999999999998</v>
      </c>
      <c r="V6" s="4">
        <v>1</v>
      </c>
      <c r="W6" s="4">
        <v>8.0000000000000002E-3</v>
      </c>
      <c r="Y6" s="4">
        <v>3</v>
      </c>
      <c r="Z6" s="4">
        <v>17.03</v>
      </c>
      <c r="AA6" s="4">
        <v>20</v>
      </c>
      <c r="AB6" s="9">
        <f t="shared" si="3"/>
        <v>0.85150000000000003</v>
      </c>
      <c r="AC6" s="4">
        <v>2.97</v>
      </c>
      <c r="AD6" s="4">
        <v>1.17</v>
      </c>
      <c r="AE6" s="4">
        <v>0.218</v>
      </c>
      <c r="AG6" s="4">
        <v>3</v>
      </c>
      <c r="AH6" s="4">
        <v>18.32</v>
      </c>
      <c r="AI6" s="4">
        <v>21</v>
      </c>
      <c r="AJ6" s="9">
        <f t="shared" si="4"/>
        <v>0.87238095238095237</v>
      </c>
      <c r="AK6" s="4">
        <v>2.68</v>
      </c>
      <c r="AL6" s="4">
        <v>1.96</v>
      </c>
      <c r="AM6" s="4">
        <v>0.375</v>
      </c>
    </row>
    <row r="7" spans="1:40" x14ac:dyDescent="0.3">
      <c r="A7" s="4">
        <v>4</v>
      </c>
      <c r="B7" s="5">
        <v>105.1</v>
      </c>
      <c r="C7" s="5">
        <v>112</v>
      </c>
      <c r="D7" s="9">
        <f t="shared" si="0"/>
        <v>0.93839285714285714</v>
      </c>
      <c r="E7" s="4">
        <v>6.94</v>
      </c>
      <c r="F7" s="4">
        <v>1.4</v>
      </c>
      <c r="G7" s="4">
        <v>0.42199999999999999</v>
      </c>
      <c r="I7" s="4">
        <v>4</v>
      </c>
      <c r="J7" s="4">
        <v>18.28</v>
      </c>
      <c r="K7" s="4">
        <v>20</v>
      </c>
      <c r="L7" s="9">
        <f t="shared" si="1"/>
        <v>0.91400000000000003</v>
      </c>
      <c r="M7" s="4">
        <v>1.72</v>
      </c>
      <c r="N7" s="4">
        <v>1.1100000000000001</v>
      </c>
      <c r="O7" s="4">
        <v>0.14899999999999999</v>
      </c>
      <c r="Q7" s="4">
        <v>4</v>
      </c>
      <c r="R7" s="4">
        <v>20.93</v>
      </c>
      <c r="S7" s="4">
        <v>20</v>
      </c>
      <c r="T7" s="9">
        <f t="shared" si="2"/>
        <v>0.95350000000000001</v>
      </c>
      <c r="U7" s="4">
        <v>0.93</v>
      </c>
      <c r="V7" s="4">
        <v>1</v>
      </c>
      <c r="W7" s="4">
        <v>7.0000000000000001E-3</v>
      </c>
      <c r="Y7" s="4">
        <v>4</v>
      </c>
      <c r="Z7" s="4">
        <v>18.37</v>
      </c>
      <c r="AA7" s="4">
        <v>20</v>
      </c>
      <c r="AB7" s="9">
        <f t="shared" si="3"/>
        <v>0.91850000000000009</v>
      </c>
      <c r="AC7" s="4">
        <v>1.63</v>
      </c>
      <c r="AD7" s="4">
        <v>1.05</v>
      </c>
      <c r="AE7" s="4">
        <v>0.11</v>
      </c>
      <c r="AG7" s="4">
        <v>4</v>
      </c>
      <c r="AH7" s="4">
        <v>23.27</v>
      </c>
      <c r="AI7" s="4">
        <v>20</v>
      </c>
      <c r="AJ7" s="9">
        <f t="shared" si="4"/>
        <v>0.83650000000000002</v>
      </c>
      <c r="AK7" s="4">
        <v>3.27</v>
      </c>
      <c r="AL7" s="4">
        <v>1.02</v>
      </c>
      <c r="AM7" s="4">
        <v>5.3999999999999999E-2</v>
      </c>
    </row>
    <row r="8" spans="1:40" x14ac:dyDescent="0.3">
      <c r="A8" s="4">
        <v>5</v>
      </c>
      <c r="B8" s="5">
        <v>108.8</v>
      </c>
      <c r="C8" s="5">
        <v>109</v>
      </c>
      <c r="D8" s="9">
        <f t="shared" si="0"/>
        <v>0.99816513761467884</v>
      </c>
      <c r="E8" s="4">
        <v>0.17</v>
      </c>
      <c r="F8" s="4">
        <v>1.45</v>
      </c>
      <c r="G8" s="4">
        <v>0.44400000000000001</v>
      </c>
      <c r="I8" s="4">
        <v>5</v>
      </c>
      <c r="J8" s="4">
        <v>16.600000000000001</v>
      </c>
      <c r="K8" s="4">
        <v>20</v>
      </c>
      <c r="L8" s="9">
        <f t="shared" si="1"/>
        <v>0.83000000000000007</v>
      </c>
      <c r="M8" s="4">
        <v>3.4</v>
      </c>
      <c r="N8" s="4">
        <v>1.06</v>
      </c>
      <c r="O8" s="4">
        <v>0.114</v>
      </c>
      <c r="Q8" s="4">
        <v>5</v>
      </c>
      <c r="R8" s="4">
        <v>16.63</v>
      </c>
      <c r="S8" s="4">
        <v>20</v>
      </c>
      <c r="T8" s="9">
        <f t="shared" si="2"/>
        <v>0.83149999999999991</v>
      </c>
      <c r="U8" s="4">
        <v>3.3780000000000001</v>
      </c>
      <c r="V8" s="4">
        <v>1</v>
      </c>
      <c r="W8" s="4">
        <v>8.0000000000000002E-3</v>
      </c>
      <c r="Y8" s="4">
        <v>5</v>
      </c>
      <c r="Z8" s="4">
        <v>16.260000000000002</v>
      </c>
      <c r="AA8" s="4">
        <v>20</v>
      </c>
      <c r="AB8" s="9">
        <f t="shared" si="3"/>
        <v>0.81300000000000006</v>
      </c>
      <c r="AC8" s="4">
        <v>3.74</v>
      </c>
      <c r="AD8" s="4">
        <v>1.03</v>
      </c>
      <c r="AE8" s="4">
        <v>7.9000000000000001E-2</v>
      </c>
      <c r="AG8" s="4">
        <v>5</v>
      </c>
      <c r="AH8" s="4">
        <v>21.88</v>
      </c>
      <c r="AI8" s="4">
        <v>20</v>
      </c>
      <c r="AJ8" s="9">
        <f t="shared" si="4"/>
        <v>0.90600000000000003</v>
      </c>
      <c r="AK8" s="4">
        <v>1.88</v>
      </c>
      <c r="AL8" s="4">
        <v>1.01</v>
      </c>
      <c r="AM8" s="4">
        <v>3.3000000000000002E-2</v>
      </c>
    </row>
    <row r="9" spans="1:40" x14ac:dyDescent="0.3">
      <c r="A9" s="4">
        <v>6</v>
      </c>
      <c r="B9" s="5">
        <v>97.47</v>
      </c>
      <c r="C9" s="5">
        <v>111</v>
      </c>
      <c r="D9" s="9">
        <f t="shared" si="0"/>
        <v>0.87810810810810813</v>
      </c>
      <c r="E9" s="4">
        <v>13.53</v>
      </c>
      <c r="F9" s="4">
        <v>1.6</v>
      </c>
      <c r="G9" s="4">
        <v>0.48399999999999999</v>
      </c>
      <c r="I9" s="4">
        <v>6</v>
      </c>
      <c r="J9" s="4">
        <v>12.12</v>
      </c>
      <c r="K9" s="4">
        <v>20</v>
      </c>
      <c r="L9" s="9">
        <f t="shared" si="1"/>
        <v>0.60599999999999998</v>
      </c>
      <c r="M9" s="4">
        <v>7.88</v>
      </c>
      <c r="N9" s="4">
        <v>1.06</v>
      </c>
      <c r="O9" s="4">
        <v>0.114</v>
      </c>
      <c r="Q9" s="4">
        <v>6</v>
      </c>
      <c r="R9" s="4">
        <v>13.68</v>
      </c>
      <c r="S9" s="4">
        <v>20</v>
      </c>
      <c r="T9" s="9">
        <f t="shared" si="2"/>
        <v>0.68399999999999994</v>
      </c>
      <c r="U9" s="4">
        <v>6.32</v>
      </c>
      <c r="V9" s="4">
        <v>1</v>
      </c>
      <c r="W9" s="4">
        <v>1.2E-2</v>
      </c>
      <c r="Y9" s="4">
        <v>6</v>
      </c>
      <c r="Z9" s="4">
        <v>14.78</v>
      </c>
      <c r="AA9" s="4">
        <v>20</v>
      </c>
      <c r="AB9" s="9">
        <f t="shared" si="3"/>
        <v>0.73899999999999999</v>
      </c>
      <c r="AC9" s="4">
        <v>5.22</v>
      </c>
      <c r="AD9" s="4">
        <v>1.02</v>
      </c>
      <c r="AE9" s="4">
        <v>6.6000000000000003E-2</v>
      </c>
      <c r="AG9" s="4">
        <v>6</v>
      </c>
      <c r="AH9" s="4">
        <v>16.09</v>
      </c>
      <c r="AI9" s="4">
        <v>20</v>
      </c>
      <c r="AJ9" s="9">
        <f t="shared" si="4"/>
        <v>0.80449999999999999</v>
      </c>
      <c r="AK9" s="4">
        <v>3.91</v>
      </c>
      <c r="AL9" s="4">
        <v>1.04</v>
      </c>
      <c r="AM9" s="4">
        <v>9.0999999999999998E-2</v>
      </c>
    </row>
    <row r="10" spans="1:40" x14ac:dyDescent="0.3">
      <c r="A10" s="4">
        <v>7</v>
      </c>
      <c r="B10" s="5">
        <v>108.28</v>
      </c>
      <c r="C10" s="5">
        <v>106</v>
      </c>
      <c r="D10" s="9">
        <f t="shared" si="0"/>
        <v>0.97849056603773588</v>
      </c>
      <c r="E10" s="4">
        <v>2.2799999999999998</v>
      </c>
      <c r="F10" s="4">
        <v>1.44</v>
      </c>
      <c r="G10" s="4">
        <v>0.39400000000000002</v>
      </c>
      <c r="I10" s="4">
        <v>7</v>
      </c>
      <c r="J10" s="4">
        <v>14.68</v>
      </c>
      <c r="K10" s="4">
        <v>20</v>
      </c>
      <c r="L10" s="9">
        <f t="shared" si="1"/>
        <v>0.73399999999999999</v>
      </c>
      <c r="M10" s="4">
        <v>5.32</v>
      </c>
      <c r="N10" s="4">
        <v>1.0900000000000001</v>
      </c>
      <c r="O10" s="4">
        <v>0.14000000000000001</v>
      </c>
      <c r="Q10" s="4">
        <v>7</v>
      </c>
      <c r="R10" s="4">
        <v>18.489999999999998</v>
      </c>
      <c r="S10" s="4">
        <v>20</v>
      </c>
      <c r="T10" s="9">
        <f t="shared" si="2"/>
        <v>0.92449999999999988</v>
      </c>
      <c r="U10" s="4">
        <v>1.51</v>
      </c>
      <c r="V10" s="4">
        <v>1</v>
      </c>
      <c r="W10" s="4">
        <v>1.4E-2</v>
      </c>
      <c r="Y10" s="4">
        <v>7</v>
      </c>
      <c r="Z10" s="4">
        <v>17.920000000000002</v>
      </c>
      <c r="AA10" s="4">
        <v>20</v>
      </c>
      <c r="AB10" s="9">
        <f t="shared" si="3"/>
        <v>0.89600000000000013</v>
      </c>
      <c r="AC10" s="4">
        <v>2.08</v>
      </c>
      <c r="AD10" s="4">
        <v>1.07</v>
      </c>
      <c r="AE10" s="4">
        <v>0.155</v>
      </c>
      <c r="AG10" s="4">
        <v>7</v>
      </c>
      <c r="AH10" s="4">
        <v>16.940000000000001</v>
      </c>
      <c r="AI10" s="4">
        <v>20</v>
      </c>
      <c r="AJ10" s="9">
        <f t="shared" si="4"/>
        <v>0.84700000000000009</v>
      </c>
      <c r="AK10" s="4">
        <v>3.06</v>
      </c>
      <c r="AL10" s="4">
        <v>1.02</v>
      </c>
      <c r="AM10" s="4">
        <v>4.4999999999999998E-2</v>
      </c>
    </row>
    <row r="11" spans="1:40" x14ac:dyDescent="0.3">
      <c r="A11" s="4">
        <v>8</v>
      </c>
      <c r="B11" s="5">
        <v>109.24</v>
      </c>
      <c r="C11" s="5">
        <v>95</v>
      </c>
      <c r="D11" s="9">
        <f t="shared" si="0"/>
        <v>0.85010526315789481</v>
      </c>
      <c r="E11" s="4">
        <v>14.24</v>
      </c>
      <c r="F11" s="4">
        <v>1.43</v>
      </c>
      <c r="G11" s="4">
        <v>0.40799999999999997</v>
      </c>
      <c r="I11" s="4">
        <v>8</v>
      </c>
      <c r="J11" s="4">
        <v>15.95</v>
      </c>
      <c r="K11" s="4">
        <v>19</v>
      </c>
      <c r="L11" s="9">
        <f t="shared" si="1"/>
        <v>0.83947368421052626</v>
      </c>
      <c r="M11" s="4">
        <v>3.05</v>
      </c>
      <c r="N11" s="4">
        <v>1.08</v>
      </c>
      <c r="O11" s="4">
        <v>0.13900000000000001</v>
      </c>
      <c r="Q11" s="4">
        <v>8</v>
      </c>
      <c r="R11" s="6">
        <v>13.32</v>
      </c>
      <c r="S11" s="4">
        <v>21</v>
      </c>
      <c r="T11" s="9">
        <f t="shared" si="2"/>
        <v>0.63428571428571434</v>
      </c>
      <c r="U11" s="6">
        <v>7.68</v>
      </c>
      <c r="V11" s="4">
        <v>1</v>
      </c>
      <c r="W11" s="4">
        <v>1.2E-2</v>
      </c>
      <c r="Y11" s="4">
        <v>8</v>
      </c>
      <c r="Z11" s="4">
        <v>23.9</v>
      </c>
      <c r="AA11" s="4">
        <v>19</v>
      </c>
      <c r="AB11" s="9">
        <f t="shared" si="3"/>
        <v>0.74210526315789482</v>
      </c>
      <c r="AC11" s="4">
        <v>4.9000000000000004</v>
      </c>
      <c r="AD11" s="4">
        <v>2.04</v>
      </c>
      <c r="AE11" s="4">
        <v>0.42299999999999999</v>
      </c>
      <c r="AG11" s="4">
        <v>8</v>
      </c>
      <c r="AH11" s="6">
        <v>12.54</v>
      </c>
      <c r="AI11" s="4">
        <v>21</v>
      </c>
      <c r="AJ11" s="9">
        <f t="shared" si="4"/>
        <v>0.59714285714285709</v>
      </c>
      <c r="AK11" s="6">
        <v>8.4600000000000009</v>
      </c>
      <c r="AL11" s="4">
        <v>1.04</v>
      </c>
      <c r="AM11" s="4">
        <v>8.2000000000000003E-2</v>
      </c>
    </row>
    <row r="12" spans="1:40" x14ac:dyDescent="0.3">
      <c r="A12" s="4">
        <v>9</v>
      </c>
      <c r="B12" s="5">
        <v>101.75</v>
      </c>
      <c r="C12" s="5">
        <v>111</v>
      </c>
      <c r="D12" s="9">
        <f t="shared" si="0"/>
        <v>0.91666666666666663</v>
      </c>
      <c r="E12" s="4">
        <v>9.25</v>
      </c>
      <c r="F12" s="4">
        <v>1.55</v>
      </c>
      <c r="G12" s="4">
        <v>0.46400000000000002</v>
      </c>
      <c r="I12" s="4">
        <v>9</v>
      </c>
      <c r="J12" s="4">
        <v>15.41</v>
      </c>
      <c r="K12" s="4">
        <v>19</v>
      </c>
      <c r="L12" s="9">
        <f t="shared" si="1"/>
        <v>0.81105263157894736</v>
      </c>
      <c r="M12" s="4">
        <v>3.59</v>
      </c>
      <c r="N12" s="4">
        <v>1.1100000000000001</v>
      </c>
      <c r="O12" s="4">
        <v>0.158</v>
      </c>
      <c r="Q12" s="4">
        <v>9</v>
      </c>
      <c r="R12" s="4">
        <v>15.04</v>
      </c>
      <c r="S12" s="4">
        <v>21</v>
      </c>
      <c r="T12" s="9">
        <f t="shared" si="2"/>
        <v>0.71619047619047616</v>
      </c>
      <c r="U12" s="4">
        <v>5.96</v>
      </c>
      <c r="V12" s="4">
        <v>1.01</v>
      </c>
      <c r="W12" s="4">
        <v>2.5000000000000001E-2</v>
      </c>
      <c r="Y12" s="4">
        <v>9</v>
      </c>
      <c r="Z12" s="4">
        <v>17.14</v>
      </c>
      <c r="AA12" s="4">
        <v>19</v>
      </c>
      <c r="AB12" s="9">
        <f t="shared" si="3"/>
        <v>0.90210526315789474</v>
      </c>
      <c r="AC12" s="4">
        <v>1.86</v>
      </c>
      <c r="AD12" s="4">
        <v>1.08</v>
      </c>
      <c r="AE12" s="4">
        <v>0.16900000000000001</v>
      </c>
      <c r="AG12" s="4">
        <v>9</v>
      </c>
      <c r="AH12" s="4">
        <v>13.12</v>
      </c>
      <c r="AI12" s="4">
        <v>21</v>
      </c>
      <c r="AJ12" s="9">
        <f t="shared" si="4"/>
        <v>0.62476190476190474</v>
      </c>
      <c r="AK12" s="4">
        <v>7.88</v>
      </c>
      <c r="AL12" s="4">
        <v>1.02</v>
      </c>
      <c r="AM12" s="4">
        <v>5.1999999999999998E-2</v>
      </c>
    </row>
    <row r="13" spans="1:40" x14ac:dyDescent="0.3">
      <c r="A13" s="4">
        <v>10</v>
      </c>
      <c r="B13" s="5">
        <v>105.1</v>
      </c>
      <c r="C13" s="5">
        <v>102</v>
      </c>
      <c r="D13" s="9">
        <f t="shared" si="0"/>
        <v>0.96960784313725501</v>
      </c>
      <c r="E13" s="4">
        <v>3.11</v>
      </c>
      <c r="F13" s="4">
        <v>1.5</v>
      </c>
      <c r="G13" s="4">
        <v>0.47699999999999998</v>
      </c>
      <c r="I13" s="4">
        <v>10</v>
      </c>
      <c r="J13" s="6">
        <v>14.89</v>
      </c>
      <c r="K13" s="4">
        <v>20</v>
      </c>
      <c r="L13" s="9">
        <f t="shared" si="1"/>
        <v>0.74450000000000005</v>
      </c>
      <c r="M13" s="6">
        <v>5.1100000000000003</v>
      </c>
      <c r="N13" s="4">
        <v>1.1299999999999999</v>
      </c>
      <c r="O13" s="4">
        <v>0.186</v>
      </c>
      <c r="Q13" s="4">
        <v>10</v>
      </c>
      <c r="R13" s="6">
        <v>14.13</v>
      </c>
      <c r="S13" s="4">
        <v>20</v>
      </c>
      <c r="T13" s="9">
        <f t="shared" si="2"/>
        <v>0.70650000000000002</v>
      </c>
      <c r="U13" s="6">
        <v>5.87</v>
      </c>
      <c r="V13" s="4">
        <v>1.01</v>
      </c>
      <c r="W13" s="4">
        <v>2.1000000000000001E-2</v>
      </c>
      <c r="Y13" s="4">
        <v>10</v>
      </c>
      <c r="Z13" s="6">
        <v>16.829999999999998</v>
      </c>
      <c r="AA13" s="4">
        <v>20</v>
      </c>
      <c r="AB13" s="9">
        <f t="shared" si="3"/>
        <v>0.84149999999999991</v>
      </c>
      <c r="AC13" s="6">
        <v>3.17</v>
      </c>
      <c r="AD13" s="4">
        <v>1.02</v>
      </c>
      <c r="AE13" s="4">
        <v>4.2999999999999997E-2</v>
      </c>
      <c r="AG13" s="4">
        <v>10</v>
      </c>
      <c r="AH13" s="6">
        <v>13.02</v>
      </c>
      <c r="AI13" s="4">
        <v>20</v>
      </c>
      <c r="AJ13" s="9">
        <f t="shared" si="4"/>
        <v>0.65100000000000002</v>
      </c>
      <c r="AK13" s="6">
        <v>6.98</v>
      </c>
      <c r="AL13" s="4">
        <v>1.04</v>
      </c>
      <c r="AM13" s="4">
        <v>8.2000000000000003E-2</v>
      </c>
    </row>
    <row r="14" spans="1:40" x14ac:dyDescent="0.3">
      <c r="A14" s="7"/>
      <c r="B14" s="7"/>
      <c r="C14" s="7"/>
      <c r="D14" s="10" t="str">
        <f>TEXT(AVERAGE(D4:D13),"0.0%")&amp; "±" &amp;TEXT(_xlfn.STDEV.S(D4:D13),"0.0%")</f>
        <v>94.3%±4.9%</v>
      </c>
      <c r="E14" s="10">
        <f>AVERAGE(E4:E13)</f>
        <v>5.9510000000000005</v>
      </c>
      <c r="F14" s="10">
        <f>AVERAGE(F4:F13)</f>
        <v>1.4540000000000002</v>
      </c>
      <c r="G14" s="10">
        <f>AVERAGE(G4:G13)</f>
        <v>0.43159999999999998</v>
      </c>
      <c r="L14" s="10" t="str">
        <f>TEXT(AVERAGE(L4:L13),"0.0%")&amp; "±" &amp;TEXT(_xlfn.STDEV.S(L4:L13),"0.0%")</f>
        <v>82.5%±10.7%</v>
      </c>
      <c r="M14" s="10">
        <f>AVERAGE(M4:M13)</f>
        <v>3.4730000000000003</v>
      </c>
      <c r="N14" s="10">
        <f>AVERAGE(N4:N13)</f>
        <v>1.0920000000000001</v>
      </c>
      <c r="O14" s="10">
        <f>AVERAGE(O4:O13)</f>
        <v>0.1419</v>
      </c>
      <c r="T14" s="10" t="str">
        <f>TEXT(AVERAGE(T4:T13),"0.0%")&amp; "±" &amp;TEXT(_xlfn.STDEV.S(T4:T13),"0.0%")</f>
        <v>82.9%±13.2%</v>
      </c>
      <c r="U14" s="10">
        <f>AVERAGE(U4:U13)</f>
        <v>3.5027999999999997</v>
      </c>
      <c r="V14" s="10">
        <f>AVERAGE(V4:V13)</f>
        <v>1.0029999999999999</v>
      </c>
      <c r="W14" s="10">
        <f>AVERAGE(W4:W13)</f>
        <v>1.3999999999999999E-2</v>
      </c>
      <c r="AB14" s="10" t="str">
        <f>TEXT(AVERAGE(AB4:AB13),"0.0%")&amp; "±" &amp;TEXT(_xlfn.STDEV.S(AB4:AB13),"0.0%")</f>
        <v>86.2%±7.9%</v>
      </c>
      <c r="AC14" s="10">
        <f>AVERAGE(AC4:AC13)</f>
        <v>2.7299999999999995</v>
      </c>
      <c r="AD14" s="10">
        <f>AVERAGE(AD4:AD13)</f>
        <v>1.1540000000000001</v>
      </c>
      <c r="AE14" s="10">
        <f>AVERAGE(AE4:AE13)</f>
        <v>0.14099999999999999</v>
      </c>
      <c r="AJ14" s="10" t="str">
        <f>TEXT(AVERAGE(AJ4:AJ13),"0.0%")&amp; "±" &amp;TEXT(_xlfn.STDEV.S(AJ4:AJ13),"0.0%")</f>
        <v>77.7%±12.3%</v>
      </c>
      <c r="AK14" s="10">
        <f>AVERAGE(AK4:AK13)</f>
        <v>4.5739999999999998</v>
      </c>
      <c r="AL14" s="10">
        <f>AVERAGE(AL4:AL13)</f>
        <v>1.1169999999999998</v>
      </c>
      <c r="AM14" s="10">
        <f>AVERAGE(AM4:AM13)</f>
        <v>8.77E-2</v>
      </c>
    </row>
    <row r="15" spans="1:40" x14ac:dyDescent="0.3">
      <c r="A15" s="7"/>
      <c r="B15" s="7"/>
      <c r="C15" s="7"/>
      <c r="D15" s="7"/>
      <c r="E15" s="7"/>
      <c r="F15" s="7"/>
      <c r="G15" s="7"/>
    </row>
    <row r="16" spans="1:40" x14ac:dyDescent="0.3">
      <c r="A16" s="13" t="s">
        <v>7</v>
      </c>
      <c r="B16" s="13"/>
      <c r="C16" s="13"/>
      <c r="D16" s="13"/>
      <c r="E16" s="13"/>
      <c r="F16" s="13"/>
      <c r="G16" s="13"/>
      <c r="I16" s="12" t="s">
        <v>14</v>
      </c>
      <c r="J16" s="12"/>
      <c r="K16" s="12"/>
      <c r="L16" s="12"/>
      <c r="M16" s="12"/>
      <c r="N16" s="12"/>
      <c r="O16" s="12"/>
      <c r="Q16" s="12" t="s">
        <v>15</v>
      </c>
      <c r="R16" s="12"/>
      <c r="S16" s="12"/>
      <c r="T16" s="12"/>
      <c r="U16" s="12"/>
      <c r="V16" s="12"/>
      <c r="W16" s="12"/>
      <c r="Y16" s="11" t="s">
        <v>14</v>
      </c>
      <c r="Z16" s="11"/>
      <c r="AA16" s="11"/>
      <c r="AB16" s="11"/>
      <c r="AC16" s="11"/>
      <c r="AD16" s="11"/>
      <c r="AE16" s="11"/>
      <c r="AG16" s="11" t="s">
        <v>15</v>
      </c>
      <c r="AH16" s="11"/>
      <c r="AI16" s="11"/>
      <c r="AJ16" s="11"/>
      <c r="AK16" s="11"/>
      <c r="AL16" s="11"/>
      <c r="AM16" s="11"/>
    </row>
    <row r="17" spans="1:39" x14ac:dyDescent="0.3">
      <c r="A17" s="3" t="s">
        <v>0</v>
      </c>
      <c r="B17" s="3" t="s">
        <v>1</v>
      </c>
      <c r="C17" s="3" t="s">
        <v>2</v>
      </c>
      <c r="D17" s="3" t="s">
        <v>26</v>
      </c>
      <c r="E17" s="3" t="s">
        <v>3</v>
      </c>
      <c r="F17" s="3" t="s">
        <v>4</v>
      </c>
      <c r="G17" s="3" t="s">
        <v>5</v>
      </c>
      <c r="I17" s="3" t="s">
        <v>0</v>
      </c>
      <c r="J17" s="3" t="s">
        <v>1</v>
      </c>
      <c r="K17" s="3" t="s">
        <v>2</v>
      </c>
      <c r="L17" s="3" t="s">
        <v>26</v>
      </c>
      <c r="M17" s="3" t="s">
        <v>3</v>
      </c>
      <c r="N17" s="3" t="s">
        <v>4</v>
      </c>
      <c r="O17" s="3" t="s">
        <v>5</v>
      </c>
      <c r="Q17" s="3" t="s">
        <v>0</v>
      </c>
      <c r="R17" s="3" t="s">
        <v>1</v>
      </c>
      <c r="S17" s="3" t="s">
        <v>2</v>
      </c>
      <c r="T17" s="3" t="s">
        <v>26</v>
      </c>
      <c r="U17" s="3" t="s">
        <v>3</v>
      </c>
      <c r="V17" s="3" t="s">
        <v>4</v>
      </c>
      <c r="W17" s="3" t="s">
        <v>5</v>
      </c>
      <c r="Y17" s="3" t="s">
        <v>0</v>
      </c>
      <c r="Z17" s="3" t="s">
        <v>1</v>
      </c>
      <c r="AA17" s="3" t="s">
        <v>2</v>
      </c>
      <c r="AB17" s="3" t="s">
        <v>26</v>
      </c>
      <c r="AC17" s="3" t="s">
        <v>3</v>
      </c>
      <c r="AD17" s="3" t="s">
        <v>4</v>
      </c>
      <c r="AE17" s="3" t="s">
        <v>5</v>
      </c>
      <c r="AG17" s="3" t="s">
        <v>0</v>
      </c>
      <c r="AH17" s="3" t="s">
        <v>1</v>
      </c>
      <c r="AI17" s="3" t="s">
        <v>2</v>
      </c>
      <c r="AJ17" s="3" t="s">
        <v>26</v>
      </c>
      <c r="AK17" s="3" t="s">
        <v>3</v>
      </c>
      <c r="AL17" s="3" t="s">
        <v>4</v>
      </c>
      <c r="AM17" s="3" t="s">
        <v>5</v>
      </c>
    </row>
    <row r="18" spans="1:39" x14ac:dyDescent="0.3">
      <c r="A18" s="4">
        <v>1</v>
      </c>
      <c r="B18" s="5">
        <v>20.5</v>
      </c>
      <c r="C18" s="4">
        <v>20</v>
      </c>
      <c r="D18" s="9">
        <f>(C18-ABS(C18-B18))/C18</f>
        <v>0.97499999999999998</v>
      </c>
      <c r="E18" s="4">
        <v>0.49</v>
      </c>
      <c r="F18" s="4">
        <v>1.0900000000000001</v>
      </c>
      <c r="G18" s="4">
        <v>0.17399999999999999</v>
      </c>
      <c r="I18" s="4">
        <v>1</v>
      </c>
      <c r="J18" s="4">
        <v>21.04</v>
      </c>
      <c r="K18" s="4">
        <v>20</v>
      </c>
      <c r="L18" s="9">
        <f>(K18-ABS(K18-J18))/K18</f>
        <v>0.94800000000000006</v>
      </c>
      <c r="M18" s="4">
        <v>1.04</v>
      </c>
      <c r="N18" s="4">
        <v>1.08</v>
      </c>
      <c r="O18" s="4">
        <v>0.14799999999999999</v>
      </c>
      <c r="Q18" s="4">
        <v>1</v>
      </c>
      <c r="R18" s="4">
        <v>14.87</v>
      </c>
      <c r="S18" s="4">
        <v>21</v>
      </c>
      <c r="T18" s="9">
        <f>(S18-ABS(S18-R18))/S18</f>
        <v>0.70809523809523811</v>
      </c>
      <c r="U18" s="4">
        <v>6.13</v>
      </c>
      <c r="V18" s="4">
        <v>1.05</v>
      </c>
      <c r="W18" s="4">
        <v>9.5000000000000001E-2</v>
      </c>
      <c r="Y18" s="4">
        <v>1</v>
      </c>
      <c r="Z18" s="4">
        <v>17.93</v>
      </c>
      <c r="AA18" s="4">
        <v>20</v>
      </c>
      <c r="AB18" s="9">
        <f>(AA18-ABS(AA18-Z18))/AA18</f>
        <v>0.89649999999999996</v>
      </c>
      <c r="AC18" s="4">
        <v>2.0699999999999998</v>
      </c>
      <c r="AD18" s="4">
        <v>1.0900000000000001</v>
      </c>
      <c r="AE18" s="4">
        <v>0.17799999999999999</v>
      </c>
      <c r="AG18" s="4">
        <v>1</v>
      </c>
      <c r="AH18" s="4">
        <v>15.9</v>
      </c>
      <c r="AI18" s="4">
        <v>21</v>
      </c>
      <c r="AJ18" s="9">
        <f>(AI18-ABS(AI18-AH18))/AI18</f>
        <v>0.75714285714285712</v>
      </c>
      <c r="AK18" s="4">
        <v>5.0999999999999996</v>
      </c>
      <c r="AL18" s="4">
        <v>1.01</v>
      </c>
      <c r="AM18" s="4">
        <v>4.1000000000000002E-2</v>
      </c>
    </row>
    <row r="19" spans="1:39" x14ac:dyDescent="0.3">
      <c r="A19" s="4">
        <v>2</v>
      </c>
      <c r="B19" s="5">
        <v>19.100000000000001</v>
      </c>
      <c r="C19" s="4">
        <v>20</v>
      </c>
      <c r="D19" s="9">
        <f t="shared" ref="D19:D27" si="5">(C19-ABS(C19-B19))/C19</f>
        <v>0.95500000000000007</v>
      </c>
      <c r="E19" s="4">
        <v>0.89</v>
      </c>
      <c r="F19" s="4">
        <v>1.19</v>
      </c>
      <c r="G19" s="4">
        <v>0.25600000000000001</v>
      </c>
      <c r="I19" s="4">
        <v>2</v>
      </c>
      <c r="J19" s="4">
        <v>23.01</v>
      </c>
      <c r="K19" s="4">
        <v>21</v>
      </c>
      <c r="L19" s="9">
        <f t="shared" ref="L19:L27" si="6">(K19-ABS(K19-J19))/K19</f>
        <v>0.90428571428571425</v>
      </c>
      <c r="M19" s="4">
        <v>2.0099999999999998</v>
      </c>
      <c r="N19" s="4">
        <v>1.08</v>
      </c>
      <c r="O19" s="4">
        <v>0.16500000000000001</v>
      </c>
      <c r="Q19" s="4">
        <v>2</v>
      </c>
      <c r="R19" s="4">
        <v>17.190000000000001</v>
      </c>
      <c r="S19" s="4">
        <v>19</v>
      </c>
      <c r="T19" s="9">
        <f t="shared" ref="T19:T27" si="7">(S19-ABS(S19-R19))/S19</f>
        <v>0.90473684210526317</v>
      </c>
      <c r="U19" s="4">
        <v>1.81</v>
      </c>
      <c r="V19" s="4">
        <v>1.05</v>
      </c>
      <c r="W19" s="4">
        <v>0.104</v>
      </c>
      <c r="Y19" s="4">
        <v>2</v>
      </c>
      <c r="Z19" s="4">
        <v>28.23</v>
      </c>
      <c r="AA19" s="4">
        <v>21</v>
      </c>
      <c r="AB19" s="9">
        <f t="shared" ref="AB19:AB27" si="8">(AA19-ABS(AA19-Z19))/AA19</f>
        <v>0.65571428571428569</v>
      </c>
      <c r="AC19" s="4">
        <v>7.23</v>
      </c>
      <c r="AD19" s="4">
        <v>1.05</v>
      </c>
      <c r="AE19" s="4">
        <v>0.11899999999999999</v>
      </c>
      <c r="AG19" s="4">
        <v>2</v>
      </c>
      <c r="AH19" s="4">
        <v>17.399999999999999</v>
      </c>
      <c r="AI19" s="4">
        <v>19</v>
      </c>
      <c r="AJ19" s="9">
        <f t="shared" ref="AJ19:AJ27" si="9">(AI19-ABS(AI19-AH19))/AI19</f>
        <v>0.91578947368421049</v>
      </c>
      <c r="AK19" s="4">
        <v>1.6</v>
      </c>
      <c r="AL19" s="4">
        <v>1.03</v>
      </c>
      <c r="AM19" s="4">
        <v>6.8000000000000005E-2</v>
      </c>
    </row>
    <row r="20" spans="1:39" x14ac:dyDescent="0.3">
      <c r="A20" s="4">
        <v>3</v>
      </c>
      <c r="B20" s="5">
        <v>21.8</v>
      </c>
      <c r="C20" s="4">
        <v>20</v>
      </c>
      <c r="D20" s="9">
        <f t="shared" si="5"/>
        <v>0.90999999999999992</v>
      </c>
      <c r="E20" s="4">
        <v>1.78</v>
      </c>
      <c r="F20" s="4">
        <v>1.1499999999999999</v>
      </c>
      <c r="G20" s="4">
        <v>0.221</v>
      </c>
      <c r="I20" s="4">
        <v>3</v>
      </c>
      <c r="J20" s="4">
        <v>22.66</v>
      </c>
      <c r="K20" s="4">
        <v>21</v>
      </c>
      <c r="L20" s="9">
        <f t="shared" si="6"/>
        <v>0.92095238095238097</v>
      </c>
      <c r="M20" s="4">
        <v>1.66</v>
      </c>
      <c r="N20" s="4">
        <v>1.06</v>
      </c>
      <c r="O20" s="4">
        <v>0.13400000000000001</v>
      </c>
      <c r="Q20" s="4">
        <v>3</v>
      </c>
      <c r="R20" s="4">
        <v>18.79</v>
      </c>
      <c r="S20" s="4">
        <v>21</v>
      </c>
      <c r="T20" s="9">
        <f t="shared" si="7"/>
        <v>0.89476190476190476</v>
      </c>
      <c r="U20" s="4">
        <v>2.21</v>
      </c>
      <c r="V20" s="4">
        <v>1.02</v>
      </c>
      <c r="W20" s="4">
        <v>4.1000000000000002E-2</v>
      </c>
      <c r="X20" s="7"/>
      <c r="Y20" s="4">
        <v>3</v>
      </c>
      <c r="Z20" s="4">
        <v>17.36</v>
      </c>
      <c r="AA20" s="4">
        <v>21</v>
      </c>
      <c r="AB20" s="9">
        <f t="shared" si="8"/>
        <v>0.82666666666666666</v>
      </c>
      <c r="AC20" s="4">
        <v>3.64</v>
      </c>
      <c r="AD20" s="4">
        <v>1.08</v>
      </c>
      <c r="AE20" s="4">
        <v>0.14099999999999999</v>
      </c>
      <c r="AG20" s="4">
        <v>3</v>
      </c>
      <c r="AH20" s="4">
        <v>12.61</v>
      </c>
      <c r="AI20" s="4">
        <v>21</v>
      </c>
      <c r="AJ20" s="9">
        <f t="shared" si="9"/>
        <v>0.6004761904761905</v>
      </c>
      <c r="AK20" s="4">
        <v>8.39</v>
      </c>
      <c r="AL20" s="4">
        <v>1.06</v>
      </c>
      <c r="AM20" s="4">
        <v>0.124</v>
      </c>
    </row>
    <row r="21" spans="1:39" x14ac:dyDescent="0.3">
      <c r="A21" s="4">
        <v>4</v>
      </c>
      <c r="B21" s="5">
        <v>21.3</v>
      </c>
      <c r="C21" s="4">
        <v>20</v>
      </c>
      <c r="D21" s="9">
        <f t="shared" si="5"/>
        <v>0.93499999999999994</v>
      </c>
      <c r="E21" s="4">
        <v>1.35</v>
      </c>
      <c r="F21" s="4">
        <v>1.1200000000000001</v>
      </c>
      <c r="G21" s="4">
        <v>0.188</v>
      </c>
      <c r="I21" s="4">
        <v>4</v>
      </c>
      <c r="J21" s="4">
        <v>19.64</v>
      </c>
      <c r="K21" s="4">
        <v>19</v>
      </c>
      <c r="L21" s="9">
        <f t="shared" si="6"/>
        <v>0.96631578947368413</v>
      </c>
      <c r="M21" s="4">
        <v>0.64</v>
      </c>
      <c r="N21" s="4">
        <v>1.06</v>
      </c>
      <c r="O21" s="4">
        <v>0.123</v>
      </c>
      <c r="Q21" s="4">
        <v>4</v>
      </c>
      <c r="R21" s="4">
        <v>20.3</v>
      </c>
      <c r="S21" s="4">
        <v>20</v>
      </c>
      <c r="T21" s="9">
        <f t="shared" si="7"/>
        <v>0.98499999999999999</v>
      </c>
      <c r="U21" s="4">
        <v>0.3</v>
      </c>
      <c r="V21" s="4">
        <v>1.01</v>
      </c>
      <c r="W21" s="4">
        <v>2.9000000000000001E-2</v>
      </c>
      <c r="Y21" s="4">
        <v>4</v>
      </c>
      <c r="Z21" s="4">
        <v>13.38</v>
      </c>
      <c r="AA21" s="4">
        <v>19</v>
      </c>
      <c r="AB21" s="9">
        <f t="shared" si="8"/>
        <v>0.70421052631578951</v>
      </c>
      <c r="AC21" s="4">
        <v>5.62</v>
      </c>
      <c r="AD21" s="4">
        <v>1.08</v>
      </c>
      <c r="AE21" s="4">
        <v>0.17499999999999999</v>
      </c>
      <c r="AG21" s="4">
        <v>4</v>
      </c>
      <c r="AH21" s="4">
        <v>27.18</v>
      </c>
      <c r="AI21" s="4">
        <v>20</v>
      </c>
      <c r="AJ21" s="9">
        <f t="shared" si="9"/>
        <v>0.64100000000000001</v>
      </c>
      <c r="AK21" s="4">
        <v>7.18</v>
      </c>
      <c r="AL21" s="4">
        <v>1.05</v>
      </c>
      <c r="AM21" s="4">
        <v>0.107</v>
      </c>
    </row>
    <row r="22" spans="1:39" x14ac:dyDescent="0.3">
      <c r="A22" s="4">
        <v>5</v>
      </c>
      <c r="B22" s="5">
        <v>20</v>
      </c>
      <c r="C22" s="4">
        <v>20</v>
      </c>
      <c r="D22" s="9">
        <f t="shared" si="5"/>
        <v>1</v>
      </c>
      <c r="E22" s="4">
        <v>0.02</v>
      </c>
      <c r="F22" s="4">
        <v>1.1000000000000001</v>
      </c>
      <c r="G22" s="4">
        <v>0.193</v>
      </c>
      <c r="I22" s="4">
        <v>5</v>
      </c>
      <c r="J22" s="4">
        <v>15.39</v>
      </c>
      <c r="K22" s="4">
        <v>20</v>
      </c>
      <c r="L22" s="9">
        <f t="shared" si="6"/>
        <v>0.76950000000000007</v>
      </c>
      <c r="M22" s="4">
        <v>4.6100000000000003</v>
      </c>
      <c r="N22" s="4">
        <v>1.23</v>
      </c>
      <c r="O22" s="4">
        <v>0.34699999999999998</v>
      </c>
      <c r="Q22" s="4">
        <v>5</v>
      </c>
      <c r="R22" s="4">
        <v>13.16</v>
      </c>
      <c r="S22" s="4">
        <v>20</v>
      </c>
      <c r="T22" s="9">
        <f t="shared" si="7"/>
        <v>0.65800000000000003</v>
      </c>
      <c r="U22" s="4">
        <v>6.84</v>
      </c>
      <c r="V22" s="4">
        <v>1.06</v>
      </c>
      <c r="W22" s="4">
        <v>0.128</v>
      </c>
      <c r="Y22" s="4">
        <v>5</v>
      </c>
      <c r="Z22" s="4">
        <v>20.86</v>
      </c>
      <c r="AA22" s="4">
        <v>20</v>
      </c>
      <c r="AB22" s="9">
        <f t="shared" si="8"/>
        <v>0.95700000000000007</v>
      </c>
      <c r="AC22" s="4">
        <v>0.86</v>
      </c>
      <c r="AD22" s="4">
        <v>1.01</v>
      </c>
      <c r="AE22" s="4">
        <v>3.4000000000000002E-2</v>
      </c>
      <c r="AG22" s="4">
        <v>5</v>
      </c>
      <c r="AH22" s="4">
        <v>14.68</v>
      </c>
      <c r="AI22" s="4">
        <v>20</v>
      </c>
      <c r="AJ22" s="9">
        <f t="shared" si="9"/>
        <v>0.73399999999999999</v>
      </c>
      <c r="AK22" s="4">
        <v>5.32</v>
      </c>
      <c r="AL22" s="4">
        <v>1.03</v>
      </c>
      <c r="AM22" s="4">
        <v>7.4999999999999997E-2</v>
      </c>
    </row>
    <row r="23" spans="1:39" x14ac:dyDescent="0.3">
      <c r="A23" s="4">
        <v>6</v>
      </c>
      <c r="B23" s="5">
        <v>13.9</v>
      </c>
      <c r="C23" s="4">
        <v>20</v>
      </c>
      <c r="D23" s="9">
        <f t="shared" si="5"/>
        <v>0.69500000000000006</v>
      </c>
      <c r="E23" s="4">
        <v>6.06</v>
      </c>
      <c r="F23" s="4">
        <v>1.1200000000000001</v>
      </c>
      <c r="G23" s="4">
        <v>0.20399999999999999</v>
      </c>
      <c r="I23" s="4">
        <v>6</v>
      </c>
      <c r="J23" s="4">
        <v>13.88</v>
      </c>
      <c r="K23" s="4">
        <v>20</v>
      </c>
      <c r="L23" s="9">
        <f t="shared" si="6"/>
        <v>0.69400000000000006</v>
      </c>
      <c r="M23" s="4">
        <v>6.12</v>
      </c>
      <c r="N23" s="4">
        <v>1.0900000000000001</v>
      </c>
      <c r="O23" s="4">
        <v>0.18</v>
      </c>
      <c r="Q23" s="4">
        <v>6</v>
      </c>
      <c r="R23" s="4">
        <v>13.64</v>
      </c>
      <c r="S23" s="4">
        <v>20</v>
      </c>
      <c r="T23" s="9">
        <f t="shared" si="7"/>
        <v>0.68200000000000005</v>
      </c>
      <c r="U23" s="4">
        <v>6.36</v>
      </c>
      <c r="V23" s="4">
        <v>1.01</v>
      </c>
      <c r="W23" s="4">
        <v>2.7E-2</v>
      </c>
      <c r="Y23" s="4">
        <v>6</v>
      </c>
      <c r="Z23" s="4">
        <v>10.38</v>
      </c>
      <c r="AA23" s="4">
        <v>20</v>
      </c>
      <c r="AB23" s="9">
        <f t="shared" si="8"/>
        <v>0.51900000000000002</v>
      </c>
      <c r="AC23" s="4">
        <v>9.6199999999999992</v>
      </c>
      <c r="AD23" s="4">
        <v>1.04</v>
      </c>
      <c r="AE23" s="4">
        <v>9.8000000000000004E-2</v>
      </c>
      <c r="AG23" s="4">
        <v>6</v>
      </c>
      <c r="AH23" s="4">
        <v>11.18</v>
      </c>
      <c r="AI23" s="4">
        <v>20</v>
      </c>
      <c r="AJ23" s="9">
        <f t="shared" si="9"/>
        <v>0.55899999999999994</v>
      </c>
      <c r="AK23" s="4">
        <v>8.82</v>
      </c>
      <c r="AL23" s="4">
        <v>2.08</v>
      </c>
      <c r="AM23" s="4">
        <v>0.35399999999999998</v>
      </c>
    </row>
    <row r="24" spans="1:39" x14ac:dyDescent="0.3">
      <c r="A24" s="4">
        <v>7</v>
      </c>
      <c r="B24" s="5">
        <v>19.100000000000001</v>
      </c>
      <c r="C24" s="4">
        <v>20</v>
      </c>
      <c r="D24" s="9">
        <f t="shared" si="5"/>
        <v>0.95500000000000007</v>
      </c>
      <c r="E24" s="4">
        <v>0.87</v>
      </c>
      <c r="F24" s="4">
        <v>1.1299999999999999</v>
      </c>
      <c r="G24" s="4">
        <v>0.20799999999999999</v>
      </c>
      <c r="I24" s="4">
        <v>7</v>
      </c>
      <c r="J24" s="4">
        <v>16.350000000000001</v>
      </c>
      <c r="K24" s="4">
        <v>21</v>
      </c>
      <c r="L24" s="9">
        <f t="shared" si="6"/>
        <v>0.77857142857142869</v>
      </c>
      <c r="M24" s="4">
        <v>4.6500000000000004</v>
      </c>
      <c r="N24" s="4">
        <v>1.17</v>
      </c>
      <c r="O24" s="4">
        <v>0.26800000000000002</v>
      </c>
      <c r="Q24" s="4">
        <v>7</v>
      </c>
      <c r="R24" s="4">
        <v>19.5</v>
      </c>
      <c r="S24" s="4">
        <v>20</v>
      </c>
      <c r="T24" s="9">
        <f t="shared" si="7"/>
        <v>0.97499999999999998</v>
      </c>
      <c r="U24" s="4">
        <v>0.5</v>
      </c>
      <c r="V24" s="4">
        <v>1.01</v>
      </c>
      <c r="W24" s="4">
        <v>3.5000000000000003E-2</v>
      </c>
      <c r="Y24" s="4">
        <v>7</v>
      </c>
      <c r="Z24" s="4">
        <v>20.420000000000002</v>
      </c>
      <c r="AA24" s="4">
        <v>21</v>
      </c>
      <c r="AB24" s="9">
        <f t="shared" si="8"/>
        <v>0.97238095238095246</v>
      </c>
      <c r="AC24" s="4">
        <v>0.57999999999999996</v>
      </c>
      <c r="AD24" s="4">
        <v>1.1100000000000001</v>
      </c>
      <c r="AE24" s="4">
        <v>0.22800000000000001</v>
      </c>
      <c r="AG24" s="4">
        <v>7</v>
      </c>
      <c r="AH24" s="4">
        <v>13.27</v>
      </c>
      <c r="AI24" s="4">
        <v>20</v>
      </c>
      <c r="AJ24" s="9">
        <f t="shared" si="9"/>
        <v>0.66349999999999998</v>
      </c>
      <c r="AK24" s="4">
        <v>6.73</v>
      </c>
      <c r="AL24" s="4">
        <v>1.06</v>
      </c>
      <c r="AM24" s="4">
        <v>0.13500000000000001</v>
      </c>
    </row>
    <row r="25" spans="1:39" x14ac:dyDescent="0.3">
      <c r="A25" s="4">
        <v>8</v>
      </c>
      <c r="B25" s="5">
        <v>19.3</v>
      </c>
      <c r="C25" s="4">
        <v>19</v>
      </c>
      <c r="D25" s="9">
        <f t="shared" si="5"/>
        <v>0.98421052631578942</v>
      </c>
      <c r="E25" s="4">
        <v>0.28999999999999998</v>
      </c>
      <c r="F25" s="4">
        <v>1.1299999999999999</v>
      </c>
      <c r="G25" s="4">
        <v>0.221</v>
      </c>
      <c r="I25" s="4">
        <v>8</v>
      </c>
      <c r="J25" s="4">
        <v>15.94</v>
      </c>
      <c r="K25" s="4">
        <v>21</v>
      </c>
      <c r="L25" s="9">
        <f t="shared" si="6"/>
        <v>0.75904761904761897</v>
      </c>
      <c r="M25" s="4">
        <v>5.0599999999999996</v>
      </c>
      <c r="N25" s="4">
        <v>1.1399999999999999</v>
      </c>
      <c r="O25" s="4">
        <v>0.23499999999999999</v>
      </c>
      <c r="Q25" s="4">
        <v>8</v>
      </c>
      <c r="R25" s="4">
        <v>10.31</v>
      </c>
      <c r="S25" s="4">
        <v>21</v>
      </c>
      <c r="T25" s="9">
        <f t="shared" si="7"/>
        <v>0.49095238095238097</v>
      </c>
      <c r="U25" s="4">
        <v>10.69</v>
      </c>
      <c r="V25" s="4">
        <v>1.04</v>
      </c>
      <c r="W25" s="4">
        <v>9.7000000000000003E-2</v>
      </c>
      <c r="Y25" s="4">
        <v>8</v>
      </c>
      <c r="Z25" s="4">
        <v>15.75</v>
      </c>
      <c r="AA25" s="4">
        <v>21</v>
      </c>
      <c r="AB25" s="9">
        <f t="shared" si="8"/>
        <v>0.75</v>
      </c>
      <c r="AC25" s="4">
        <v>5.25</v>
      </c>
      <c r="AD25" s="4">
        <v>2.09</v>
      </c>
      <c r="AE25" s="4">
        <v>0.318</v>
      </c>
      <c r="AG25" s="4">
        <v>8</v>
      </c>
      <c r="AH25" s="4">
        <v>8.9499999999999993</v>
      </c>
      <c r="AI25" s="4">
        <v>21</v>
      </c>
      <c r="AJ25" s="9">
        <f t="shared" si="9"/>
        <v>0.42619047619047618</v>
      </c>
      <c r="AK25" s="4">
        <v>12.05</v>
      </c>
      <c r="AL25" s="4">
        <v>1.77</v>
      </c>
      <c r="AM25" s="4">
        <v>0.28799999999999998</v>
      </c>
    </row>
    <row r="26" spans="1:39" x14ac:dyDescent="0.3">
      <c r="A26" s="4">
        <v>9</v>
      </c>
      <c r="B26" s="5">
        <v>19.2</v>
      </c>
      <c r="C26" s="4">
        <v>19</v>
      </c>
      <c r="D26" s="9">
        <f t="shared" si="5"/>
        <v>0.98947368421052639</v>
      </c>
      <c r="E26" s="4">
        <v>0.21</v>
      </c>
      <c r="F26" s="4">
        <v>1.1100000000000001</v>
      </c>
      <c r="G26" s="4">
        <v>0.193</v>
      </c>
      <c r="I26" s="4">
        <v>9</v>
      </c>
      <c r="J26" s="4">
        <v>21.91</v>
      </c>
      <c r="K26" s="4">
        <v>21</v>
      </c>
      <c r="L26" s="9">
        <f t="shared" si="6"/>
        <v>0.95666666666666667</v>
      </c>
      <c r="M26" s="4">
        <v>0.91</v>
      </c>
      <c r="N26" s="4">
        <v>1.21</v>
      </c>
      <c r="O26" s="4">
        <v>0.28799999999999998</v>
      </c>
      <c r="Q26" s="4">
        <v>9</v>
      </c>
      <c r="R26" s="4">
        <v>14.64</v>
      </c>
      <c r="S26" s="4">
        <v>21</v>
      </c>
      <c r="T26" s="9">
        <f t="shared" si="7"/>
        <v>0.69714285714285718</v>
      </c>
      <c r="U26" s="4">
        <v>6.36</v>
      </c>
      <c r="V26" s="4">
        <v>1.03</v>
      </c>
      <c r="W26" s="4">
        <v>7.0999999999999994E-2</v>
      </c>
      <c r="Y26" s="4">
        <v>9</v>
      </c>
      <c r="Z26" s="4">
        <v>16.86</v>
      </c>
      <c r="AA26" s="4">
        <v>21</v>
      </c>
      <c r="AB26" s="9">
        <f t="shared" si="8"/>
        <v>0.80285714285714282</v>
      </c>
      <c r="AC26" s="4">
        <v>4.1399999999999997</v>
      </c>
      <c r="AD26" s="4">
        <v>1.06</v>
      </c>
      <c r="AE26" s="4">
        <v>0.13700000000000001</v>
      </c>
      <c r="AG26" s="4">
        <v>9</v>
      </c>
      <c r="AH26" s="4">
        <v>15.1</v>
      </c>
      <c r="AI26" s="4">
        <v>21</v>
      </c>
      <c r="AJ26" s="9">
        <f t="shared" si="9"/>
        <v>0.71904761904761905</v>
      </c>
      <c r="AK26" s="4">
        <v>5.9</v>
      </c>
      <c r="AL26" s="4">
        <v>1.05</v>
      </c>
      <c r="AM26" s="4">
        <v>0.10299999999999999</v>
      </c>
    </row>
    <row r="27" spans="1:39" x14ac:dyDescent="0.3">
      <c r="A27" s="4">
        <v>10</v>
      </c>
      <c r="B27" s="5">
        <v>19.5</v>
      </c>
      <c r="C27" s="4">
        <v>20</v>
      </c>
      <c r="D27" s="9">
        <f t="shared" si="5"/>
        <v>0.97499999999999998</v>
      </c>
      <c r="E27" s="4">
        <v>0.47</v>
      </c>
      <c r="F27" s="4">
        <v>1.1299999999999999</v>
      </c>
      <c r="G27" s="4">
        <v>0.20899999999999999</v>
      </c>
      <c r="I27" s="4">
        <v>10</v>
      </c>
      <c r="J27" s="6">
        <v>21.23</v>
      </c>
      <c r="K27" s="4">
        <v>21</v>
      </c>
      <c r="L27" s="9">
        <f t="shared" si="6"/>
        <v>0.98904761904761906</v>
      </c>
      <c r="M27" s="6">
        <v>0.23</v>
      </c>
      <c r="N27" s="4">
        <v>1.23</v>
      </c>
      <c r="O27" s="4">
        <v>0.3</v>
      </c>
      <c r="Q27" s="4">
        <v>10</v>
      </c>
      <c r="R27" s="6">
        <v>16.059999999999999</v>
      </c>
      <c r="S27" s="4">
        <v>20</v>
      </c>
      <c r="T27" s="9">
        <f t="shared" si="7"/>
        <v>0.80299999999999994</v>
      </c>
      <c r="U27" s="6">
        <v>3.94</v>
      </c>
      <c r="V27" s="4">
        <v>1.03</v>
      </c>
      <c r="W27" s="4">
        <v>7.0999999999999994E-2</v>
      </c>
      <c r="Y27" s="4">
        <v>10</v>
      </c>
      <c r="Z27" s="6">
        <v>24.18</v>
      </c>
      <c r="AA27" s="4">
        <v>21</v>
      </c>
      <c r="AB27" s="9">
        <f t="shared" si="8"/>
        <v>0.84857142857142853</v>
      </c>
      <c r="AC27" s="6">
        <v>3.18</v>
      </c>
      <c r="AD27" s="6">
        <v>1.01</v>
      </c>
      <c r="AE27" s="4">
        <v>0.04</v>
      </c>
      <c r="AG27" s="4">
        <v>10</v>
      </c>
      <c r="AH27" s="6">
        <v>9.44</v>
      </c>
      <c r="AI27" s="4">
        <v>20</v>
      </c>
      <c r="AJ27" s="9">
        <f t="shared" si="9"/>
        <v>0.47199999999999998</v>
      </c>
      <c r="AK27" s="6">
        <v>10.56</v>
      </c>
      <c r="AL27" s="4">
        <v>1.07</v>
      </c>
      <c r="AM27" s="4">
        <v>0.13400000000000001</v>
      </c>
    </row>
    <row r="28" spans="1:39" x14ac:dyDescent="0.3">
      <c r="A28" s="7"/>
      <c r="B28" s="8"/>
      <c r="C28" s="7"/>
      <c r="D28" s="10" t="str">
        <f>TEXT(AVERAGE(D18:D27),"0.0%")&amp; "±" &amp;TEXT(_xlfn.STDEV.S(D18:D27),"0.0%")</f>
        <v>93.7%±8.9%</v>
      </c>
      <c r="E28" s="10">
        <f>AVERAGE(E18:E27)</f>
        <v>1.2429999999999999</v>
      </c>
      <c r="F28" s="10">
        <f>AVERAGE(F18:F27)</f>
        <v>1.127</v>
      </c>
      <c r="G28" s="10">
        <f>AVERAGE(G18:G27)</f>
        <v>0.20670000000000002</v>
      </c>
      <c r="L28" s="10" t="str">
        <f>TEXT(AVERAGE(L18:L27),"0.0%")&amp; "±" &amp;TEXT(_xlfn.STDEV.S(L18:L27),"0.0%")</f>
        <v>86.9%±10.7%</v>
      </c>
      <c r="M28" s="10">
        <f>AVERAGE(M18:M27)</f>
        <v>2.6930000000000005</v>
      </c>
      <c r="N28" s="10">
        <f>AVERAGE(N18:N27)</f>
        <v>1.1350000000000002</v>
      </c>
      <c r="O28" s="10">
        <f>AVERAGE(O18:O27)</f>
        <v>0.21880000000000002</v>
      </c>
      <c r="T28" s="10" t="str">
        <f>TEXT(AVERAGE(T18:T27),"0.0%")&amp; "±" &amp;TEXT(_xlfn.STDEV.S(T18:T27),"0.0%")</f>
        <v>78.0%±16.0%</v>
      </c>
      <c r="U28" s="10">
        <f>AVERAGE(U18:U27)</f>
        <v>4.5139999999999993</v>
      </c>
      <c r="V28" s="10">
        <f>AVERAGE(V18:V27)</f>
        <v>1.0309999999999999</v>
      </c>
      <c r="W28" s="10">
        <f>AVERAGE(W18:W27)</f>
        <v>6.9800000000000001E-2</v>
      </c>
      <c r="AB28" s="10" t="str">
        <f>TEXT(AVERAGE(AB18:AB27),"0.0%")&amp; "±" &amp;TEXT(_xlfn.STDEV.S(AB18:AB27),"0.0%")</f>
        <v>79.3%±14.1%</v>
      </c>
      <c r="AC28" s="10">
        <f>AVERAGE(AC18:AC27)</f>
        <v>4.2189999999999994</v>
      </c>
      <c r="AD28" s="10">
        <f>AVERAGE(AD18:AD27)</f>
        <v>1.1620000000000001</v>
      </c>
      <c r="AE28" s="10">
        <f>AVERAGE(AE18:AE27)</f>
        <v>0.14679999999999999</v>
      </c>
      <c r="AJ28" s="10" t="str">
        <f>TEXT(AVERAGE(AJ18:AJ27),"0.0%")&amp; "±" &amp;TEXT(_xlfn.STDEV.S(AJ18:AJ27),"0.0%")</f>
        <v>64.9%±14.4%</v>
      </c>
      <c r="AK28" s="10">
        <f>AVERAGE(AK18:AK27)</f>
        <v>7.1649999999999991</v>
      </c>
      <c r="AL28" s="10">
        <f>AVERAGE(AL18:AL27)</f>
        <v>1.2210000000000001</v>
      </c>
      <c r="AM28" s="10">
        <f>AVERAGE(AM18:AM27)</f>
        <v>0.14289999999999997</v>
      </c>
    </row>
    <row r="29" spans="1:39" x14ac:dyDescent="0.3">
      <c r="A29" s="7"/>
      <c r="B29" s="7"/>
      <c r="C29" s="7"/>
      <c r="D29" s="7"/>
      <c r="E29" s="7"/>
      <c r="F29" s="7"/>
      <c r="G29" s="7"/>
      <c r="M29" s="7"/>
      <c r="N29" s="7"/>
      <c r="O29" s="7"/>
      <c r="U29" s="7"/>
      <c r="V29" s="7"/>
      <c r="W29" s="7"/>
      <c r="AC29" s="7"/>
      <c r="AD29" s="7"/>
      <c r="AE29" s="7"/>
      <c r="AK29" s="7"/>
      <c r="AL29" s="7"/>
      <c r="AM29" s="7"/>
    </row>
    <row r="30" spans="1:39" x14ac:dyDescent="0.3">
      <c r="A30" s="13" t="s">
        <v>8</v>
      </c>
      <c r="B30" s="13"/>
      <c r="C30" s="13"/>
      <c r="D30" s="13"/>
      <c r="E30" s="13"/>
      <c r="F30" s="13"/>
      <c r="G30" s="13"/>
      <c r="I30" s="12" t="s">
        <v>16</v>
      </c>
      <c r="J30" s="12"/>
      <c r="K30" s="12"/>
      <c r="L30" s="12"/>
      <c r="M30" s="12"/>
      <c r="N30" s="12"/>
      <c r="O30" s="12"/>
      <c r="Q30" s="12" t="s">
        <v>17</v>
      </c>
      <c r="R30" s="12"/>
      <c r="S30" s="12"/>
      <c r="T30" s="12"/>
      <c r="U30" s="12"/>
      <c r="V30" s="12"/>
      <c r="W30" s="12"/>
      <c r="Y30" s="11" t="s">
        <v>16</v>
      </c>
      <c r="Z30" s="11"/>
      <c r="AA30" s="11"/>
      <c r="AB30" s="11"/>
      <c r="AC30" s="11"/>
      <c r="AD30" s="11"/>
      <c r="AE30" s="11"/>
      <c r="AG30" s="11" t="s">
        <v>17</v>
      </c>
      <c r="AH30" s="11"/>
      <c r="AI30" s="11"/>
      <c r="AJ30" s="11"/>
      <c r="AK30" s="11"/>
      <c r="AL30" s="11"/>
      <c r="AM30" s="11"/>
    </row>
    <row r="31" spans="1:39" x14ac:dyDescent="0.3">
      <c r="A31" s="3" t="s">
        <v>0</v>
      </c>
      <c r="B31" s="3" t="s">
        <v>1</v>
      </c>
      <c r="C31" s="3" t="s">
        <v>2</v>
      </c>
      <c r="D31" s="3" t="s">
        <v>26</v>
      </c>
      <c r="E31" s="3" t="s">
        <v>3</v>
      </c>
      <c r="F31" s="3" t="s">
        <v>4</v>
      </c>
      <c r="G31" s="3" t="s">
        <v>5</v>
      </c>
      <c r="I31" s="3" t="s">
        <v>0</v>
      </c>
      <c r="J31" s="3" t="s">
        <v>1</v>
      </c>
      <c r="K31" s="3" t="s">
        <v>2</v>
      </c>
      <c r="L31" s="3" t="s">
        <v>26</v>
      </c>
      <c r="M31" s="3" t="s">
        <v>3</v>
      </c>
      <c r="N31" s="3" t="s">
        <v>4</v>
      </c>
      <c r="O31" s="3" t="s">
        <v>5</v>
      </c>
      <c r="Q31" s="3" t="s">
        <v>0</v>
      </c>
      <c r="R31" s="3" t="s">
        <v>1</v>
      </c>
      <c r="S31" s="3" t="s">
        <v>2</v>
      </c>
      <c r="T31" s="3" t="s">
        <v>26</v>
      </c>
      <c r="U31" s="3" t="s">
        <v>3</v>
      </c>
      <c r="V31" s="3" t="s">
        <v>4</v>
      </c>
      <c r="W31" s="3" t="s">
        <v>5</v>
      </c>
      <c r="Y31" s="3" t="s">
        <v>0</v>
      </c>
      <c r="Z31" s="3" t="s">
        <v>1</v>
      </c>
      <c r="AA31" s="3" t="s">
        <v>2</v>
      </c>
      <c r="AB31" s="3" t="s">
        <v>26</v>
      </c>
      <c r="AC31" s="3" t="s">
        <v>3</v>
      </c>
      <c r="AD31" s="3" t="s">
        <v>4</v>
      </c>
      <c r="AE31" s="3" t="s">
        <v>5</v>
      </c>
      <c r="AG31" s="3" t="s">
        <v>0</v>
      </c>
      <c r="AH31" s="3" t="s">
        <v>1</v>
      </c>
      <c r="AI31" s="3" t="s">
        <v>2</v>
      </c>
      <c r="AJ31" s="3" t="s">
        <v>26</v>
      </c>
      <c r="AK31" s="3" t="s">
        <v>3</v>
      </c>
      <c r="AL31" s="3" t="s">
        <v>4</v>
      </c>
      <c r="AM31" s="3" t="s">
        <v>5</v>
      </c>
    </row>
    <row r="32" spans="1:39" x14ac:dyDescent="0.3">
      <c r="A32" s="4">
        <v>1</v>
      </c>
      <c r="B32" s="5">
        <v>27.4</v>
      </c>
      <c r="C32" s="4">
        <v>20</v>
      </c>
      <c r="D32" s="9">
        <f>(C32-ABS(C32-B32))/C32</f>
        <v>0.63000000000000012</v>
      </c>
      <c r="E32" s="4">
        <v>7.43</v>
      </c>
      <c r="F32" s="4">
        <v>1.64</v>
      </c>
      <c r="G32" s="4">
        <v>0.59799999999999998</v>
      </c>
      <c r="I32" s="4">
        <v>1</v>
      </c>
      <c r="J32" s="4">
        <v>23.62</v>
      </c>
      <c r="K32" s="4">
        <v>20</v>
      </c>
      <c r="L32" s="9">
        <f>(K32-ABS(K32-J32))/K32</f>
        <v>0.81899999999999995</v>
      </c>
      <c r="M32" s="4">
        <v>3.62</v>
      </c>
      <c r="N32" s="4">
        <v>1.01</v>
      </c>
      <c r="O32" s="4">
        <v>0.02</v>
      </c>
      <c r="Q32" s="4">
        <v>1</v>
      </c>
      <c r="R32" s="4">
        <v>15.1</v>
      </c>
      <c r="S32" s="4">
        <v>20</v>
      </c>
      <c r="T32" s="9">
        <f>(S32-ABS(S32-R32))/S32</f>
        <v>0.755</v>
      </c>
      <c r="U32" s="4">
        <v>4.9000000000000004</v>
      </c>
      <c r="V32" s="4">
        <v>1.0900000000000001</v>
      </c>
      <c r="W32" s="4">
        <v>0.121</v>
      </c>
      <c r="Y32" s="4">
        <v>1</v>
      </c>
      <c r="Z32" s="4">
        <v>21.02</v>
      </c>
      <c r="AA32" s="4">
        <v>20</v>
      </c>
      <c r="AB32" s="9">
        <f>(AA32-ABS(AA32-Z32))/AA32</f>
        <v>0.94900000000000007</v>
      </c>
      <c r="AC32" s="4">
        <v>1.02</v>
      </c>
      <c r="AD32" s="4">
        <v>1.06</v>
      </c>
      <c r="AE32" s="4">
        <v>0.13700000000000001</v>
      </c>
      <c r="AG32" s="4">
        <v>1</v>
      </c>
      <c r="AH32" s="4">
        <v>16.27</v>
      </c>
      <c r="AI32" s="4">
        <v>20</v>
      </c>
      <c r="AJ32" s="9">
        <f>(AI32-ABS(AI32-AH32))/AI32</f>
        <v>0.8135</v>
      </c>
      <c r="AK32" s="4">
        <v>3.73</v>
      </c>
      <c r="AL32" s="4">
        <v>1.02</v>
      </c>
      <c r="AM32" s="4">
        <v>4.9000000000000002E-2</v>
      </c>
    </row>
    <row r="33" spans="1:39" x14ac:dyDescent="0.3">
      <c r="A33" s="4">
        <v>2</v>
      </c>
      <c r="B33" s="5">
        <v>17.899999999999999</v>
      </c>
      <c r="C33" s="4">
        <v>21</v>
      </c>
      <c r="D33" s="9">
        <f t="shared" ref="D33:D41" si="10">(C33-ABS(C33-B33))/C33</f>
        <v>0.85238095238095235</v>
      </c>
      <c r="E33" s="4">
        <v>3.12</v>
      </c>
      <c r="F33" s="4">
        <v>2.1</v>
      </c>
      <c r="G33" s="4">
        <v>0.63300000000000001</v>
      </c>
      <c r="I33" s="4">
        <v>2</v>
      </c>
      <c r="J33" s="4">
        <v>21.3</v>
      </c>
      <c r="K33" s="4">
        <v>21</v>
      </c>
      <c r="L33" s="9">
        <f t="shared" ref="L33:L41" si="11">(K33-ABS(K33-J33))/K33</f>
        <v>0.98571428571428565</v>
      </c>
      <c r="M33" s="4">
        <v>0.3</v>
      </c>
      <c r="N33" s="4">
        <v>1.01</v>
      </c>
      <c r="O33" s="4">
        <v>2.3E-2</v>
      </c>
      <c r="Q33" s="4">
        <v>2</v>
      </c>
      <c r="R33" s="4">
        <v>15.1</v>
      </c>
      <c r="S33" s="4">
        <v>20</v>
      </c>
      <c r="T33" s="9">
        <f t="shared" ref="T33:T41" si="12">(S33-ABS(S33-R33))/S33</f>
        <v>0.755</v>
      </c>
      <c r="U33" s="4">
        <v>4.9000000000000004</v>
      </c>
      <c r="V33" s="4">
        <v>1.34</v>
      </c>
      <c r="W33" s="4">
        <v>0.217</v>
      </c>
      <c r="Y33" s="4">
        <v>2</v>
      </c>
      <c r="Z33" s="4">
        <v>22.99</v>
      </c>
      <c r="AA33" s="4">
        <v>21</v>
      </c>
      <c r="AB33" s="9">
        <f t="shared" ref="AB33:AB41" si="13">(AA33-ABS(AA33-Z33))/AA33</f>
        <v>0.90523809523809529</v>
      </c>
      <c r="AC33" s="4">
        <v>1.99</v>
      </c>
      <c r="AD33" s="4">
        <v>1.03</v>
      </c>
      <c r="AE33" s="4">
        <v>7.3999999999999996E-2</v>
      </c>
      <c r="AG33" s="4">
        <v>2</v>
      </c>
      <c r="AH33" s="4">
        <v>22.53</v>
      </c>
      <c r="AI33" s="4">
        <v>20</v>
      </c>
      <c r="AJ33" s="9">
        <f t="shared" ref="AJ33:AJ41" si="14">(AI33-ABS(AI33-AH33))/AI33</f>
        <v>0.87349999999999994</v>
      </c>
      <c r="AK33" s="4">
        <v>2.5299999999999998</v>
      </c>
      <c r="AL33" s="4">
        <v>1.02</v>
      </c>
      <c r="AM33" s="4">
        <v>4.7E-2</v>
      </c>
    </row>
    <row r="34" spans="1:39" x14ac:dyDescent="0.3">
      <c r="A34" s="4">
        <v>3</v>
      </c>
      <c r="B34" s="5">
        <v>23.1</v>
      </c>
      <c r="C34" s="4">
        <v>21</v>
      </c>
      <c r="D34" s="9">
        <f t="shared" si="10"/>
        <v>0.89999999999999991</v>
      </c>
      <c r="E34" s="4">
        <v>2.06</v>
      </c>
      <c r="F34" s="4">
        <v>1.92</v>
      </c>
      <c r="G34" s="4">
        <v>0.51400000000000001</v>
      </c>
      <c r="I34" s="4">
        <v>3</v>
      </c>
      <c r="J34" s="4">
        <v>19.46</v>
      </c>
      <c r="K34" s="4">
        <v>21</v>
      </c>
      <c r="L34" s="9">
        <f t="shared" si="11"/>
        <v>0.92666666666666675</v>
      </c>
      <c r="M34" s="4">
        <v>1.54</v>
      </c>
      <c r="N34" s="4">
        <v>1.01</v>
      </c>
      <c r="O34" s="4">
        <v>2.5999999999999999E-2</v>
      </c>
      <c r="Q34" s="4">
        <v>3</v>
      </c>
      <c r="R34" s="4">
        <v>16.420000000000002</v>
      </c>
      <c r="S34" s="4">
        <v>20</v>
      </c>
      <c r="T34" s="9">
        <f t="shared" si="12"/>
        <v>0.82100000000000006</v>
      </c>
      <c r="U34" s="4">
        <v>3.58</v>
      </c>
      <c r="V34" s="4">
        <v>1.21</v>
      </c>
      <c r="W34" s="4">
        <v>0.187</v>
      </c>
      <c r="Y34" s="4">
        <v>3</v>
      </c>
      <c r="Z34" s="4">
        <v>22.21</v>
      </c>
      <c r="AA34" s="4">
        <v>21</v>
      </c>
      <c r="AB34" s="9">
        <f t="shared" si="13"/>
        <v>0.94238095238095232</v>
      </c>
      <c r="AC34" s="4">
        <v>1.21</v>
      </c>
      <c r="AD34" s="4">
        <v>2.0299999999999998</v>
      </c>
      <c r="AE34" s="4">
        <v>0.35199999999999998</v>
      </c>
      <c r="AG34" s="4">
        <v>3</v>
      </c>
      <c r="AH34" s="4">
        <v>15.39</v>
      </c>
      <c r="AI34" s="4">
        <v>20</v>
      </c>
      <c r="AJ34" s="9">
        <f t="shared" si="14"/>
        <v>0.76950000000000007</v>
      </c>
      <c r="AK34" s="4">
        <v>4.6100000000000003</v>
      </c>
      <c r="AL34" s="4">
        <v>1.1200000000000001</v>
      </c>
      <c r="AM34" s="4">
        <v>0.19700000000000001</v>
      </c>
    </row>
    <row r="35" spans="1:39" x14ac:dyDescent="0.3">
      <c r="A35" s="4">
        <v>4</v>
      </c>
      <c r="B35" s="5">
        <v>20.5</v>
      </c>
      <c r="C35" s="4">
        <v>19</v>
      </c>
      <c r="D35" s="9">
        <f t="shared" si="10"/>
        <v>0.92105263157894735</v>
      </c>
      <c r="E35" s="4">
        <v>1.5</v>
      </c>
      <c r="F35" s="4">
        <v>1.69</v>
      </c>
      <c r="G35" s="4">
        <v>0.61</v>
      </c>
      <c r="I35" s="4">
        <v>4</v>
      </c>
      <c r="J35" s="4">
        <v>19.36</v>
      </c>
      <c r="K35" s="4">
        <v>19</v>
      </c>
      <c r="L35" s="9">
        <f t="shared" si="11"/>
        <v>0.9810526315789474</v>
      </c>
      <c r="M35" s="4">
        <v>0.36</v>
      </c>
      <c r="N35" s="4">
        <v>1.01</v>
      </c>
      <c r="O35" s="4">
        <v>2.3E-2</v>
      </c>
      <c r="Q35" s="4">
        <v>4</v>
      </c>
      <c r="R35" s="4">
        <v>15.81</v>
      </c>
      <c r="S35" s="4">
        <v>20</v>
      </c>
      <c r="T35" s="9">
        <f t="shared" si="12"/>
        <v>0.79049999999999998</v>
      </c>
      <c r="U35" s="4">
        <v>4.1900000000000004</v>
      </c>
      <c r="V35" s="4">
        <v>1.1499999999999999</v>
      </c>
      <c r="W35" s="4">
        <v>0.16</v>
      </c>
      <c r="Y35" s="4">
        <v>4</v>
      </c>
      <c r="Z35" s="4">
        <v>18.72</v>
      </c>
      <c r="AA35" s="4">
        <v>19</v>
      </c>
      <c r="AB35" s="9">
        <f t="shared" si="13"/>
        <v>0.98526315789473673</v>
      </c>
      <c r="AC35" s="4">
        <v>0.28000000000000003</v>
      </c>
      <c r="AD35" s="4">
        <v>1.03</v>
      </c>
      <c r="AE35" s="4">
        <v>6.5000000000000002E-2</v>
      </c>
      <c r="AG35" s="4">
        <v>4</v>
      </c>
      <c r="AH35" s="4">
        <v>20.18</v>
      </c>
      <c r="AI35" s="4">
        <v>20</v>
      </c>
      <c r="AJ35" s="9">
        <f t="shared" si="14"/>
        <v>0.99099999999999999</v>
      </c>
      <c r="AK35" s="4">
        <v>0.18</v>
      </c>
      <c r="AL35" s="4">
        <v>1.03</v>
      </c>
      <c r="AM35" s="4">
        <v>7.5999999999999998E-2</v>
      </c>
    </row>
    <row r="36" spans="1:39" x14ac:dyDescent="0.3">
      <c r="A36" s="4">
        <v>5</v>
      </c>
      <c r="B36" s="5">
        <v>17.5</v>
      </c>
      <c r="C36" s="4">
        <v>20</v>
      </c>
      <c r="D36" s="9">
        <f t="shared" si="10"/>
        <v>0.875</v>
      </c>
      <c r="E36" s="4">
        <v>2.5099999999999998</v>
      </c>
      <c r="F36" s="4">
        <v>2.0699999999999998</v>
      </c>
      <c r="G36" s="4">
        <v>0.56499999999999995</v>
      </c>
      <c r="I36" s="4">
        <v>5</v>
      </c>
      <c r="J36" s="4">
        <v>16.059999999999999</v>
      </c>
      <c r="K36" s="4">
        <v>20</v>
      </c>
      <c r="L36" s="9">
        <f t="shared" si="11"/>
        <v>0.80299999999999994</v>
      </c>
      <c r="M36" s="4">
        <v>3.94</v>
      </c>
      <c r="N36" s="4">
        <v>1</v>
      </c>
      <c r="O36" s="4">
        <v>1.6E-2</v>
      </c>
      <c r="Q36" s="4">
        <v>5</v>
      </c>
      <c r="R36" s="4">
        <v>14.45</v>
      </c>
      <c r="S36" s="4">
        <v>20</v>
      </c>
      <c r="T36" s="9">
        <f t="shared" si="12"/>
        <v>0.72249999999999992</v>
      </c>
      <c r="U36" s="4">
        <v>5.55</v>
      </c>
      <c r="V36" s="4">
        <v>1.06</v>
      </c>
      <c r="W36" s="4">
        <v>9.2999999999999999E-2</v>
      </c>
      <c r="Y36" s="4">
        <v>5</v>
      </c>
      <c r="Z36" s="4">
        <v>22.34</v>
      </c>
      <c r="AA36" s="4">
        <v>20</v>
      </c>
      <c r="AB36" s="9">
        <f t="shared" si="13"/>
        <v>0.88300000000000001</v>
      </c>
      <c r="AC36" s="4">
        <v>2.34</v>
      </c>
      <c r="AD36" s="4">
        <v>1.01</v>
      </c>
      <c r="AE36" s="4">
        <v>3.5999999999999997E-2</v>
      </c>
      <c r="AG36" s="4">
        <v>5</v>
      </c>
      <c r="AH36" s="4">
        <v>14.58</v>
      </c>
      <c r="AI36" s="4">
        <v>20</v>
      </c>
      <c r="AJ36" s="9">
        <f t="shared" si="14"/>
        <v>0.72899999999999998</v>
      </c>
      <c r="AK36" s="4">
        <v>5.42</v>
      </c>
      <c r="AL36" s="4">
        <v>1.05</v>
      </c>
      <c r="AM36" s="4">
        <v>0.114</v>
      </c>
    </row>
    <row r="37" spans="1:39" x14ac:dyDescent="0.3">
      <c r="A37" s="4">
        <v>6</v>
      </c>
      <c r="B37" s="5">
        <v>18.399999999999999</v>
      </c>
      <c r="C37" s="4">
        <v>20</v>
      </c>
      <c r="D37" s="9">
        <f t="shared" si="10"/>
        <v>0.91999999999999993</v>
      </c>
      <c r="E37" s="4">
        <v>1.57</v>
      </c>
      <c r="F37" s="4">
        <v>1.7</v>
      </c>
      <c r="G37" s="4">
        <v>0.49199999999999999</v>
      </c>
      <c r="I37" s="4">
        <v>6</v>
      </c>
      <c r="J37" s="4">
        <v>13.11</v>
      </c>
      <c r="K37" s="4">
        <v>20</v>
      </c>
      <c r="L37" s="9">
        <f t="shared" si="11"/>
        <v>0.65549999999999997</v>
      </c>
      <c r="M37" s="4">
        <v>6.89</v>
      </c>
      <c r="N37" s="4">
        <v>1</v>
      </c>
      <c r="O37" s="4">
        <v>1.7000000000000001E-2</v>
      </c>
      <c r="Q37" s="4">
        <v>6</v>
      </c>
      <c r="R37" s="4">
        <v>10.79</v>
      </c>
      <c r="S37" s="4">
        <v>20</v>
      </c>
      <c r="T37" s="9">
        <f t="shared" si="12"/>
        <v>0.53949999999999998</v>
      </c>
      <c r="U37" s="4">
        <v>9.2100000000000009</v>
      </c>
      <c r="V37" s="4">
        <v>1.1100000000000001</v>
      </c>
      <c r="W37" s="4">
        <v>0.13800000000000001</v>
      </c>
      <c r="Y37" s="4">
        <v>6</v>
      </c>
      <c r="Z37" s="4">
        <v>12.27</v>
      </c>
      <c r="AA37" s="4">
        <v>20</v>
      </c>
      <c r="AB37" s="9">
        <f t="shared" si="13"/>
        <v>0.61349999999999993</v>
      </c>
      <c r="AC37" s="4">
        <v>7.73</v>
      </c>
      <c r="AD37" s="4">
        <v>1.06</v>
      </c>
      <c r="AE37" s="4">
        <v>0.128</v>
      </c>
      <c r="AG37" s="4">
        <v>6</v>
      </c>
      <c r="AH37" s="4">
        <v>10.35</v>
      </c>
      <c r="AI37" s="4">
        <v>20</v>
      </c>
      <c r="AJ37" s="9">
        <f t="shared" si="14"/>
        <v>0.51749999999999996</v>
      </c>
      <c r="AK37" s="4">
        <v>9.65</v>
      </c>
      <c r="AL37" s="4">
        <v>2</v>
      </c>
      <c r="AM37" s="4">
        <v>0.45100000000000001</v>
      </c>
    </row>
    <row r="38" spans="1:39" x14ac:dyDescent="0.3">
      <c r="A38" s="4">
        <v>7</v>
      </c>
      <c r="B38" s="5">
        <v>26</v>
      </c>
      <c r="C38" s="4">
        <v>21</v>
      </c>
      <c r="D38" s="9">
        <f t="shared" si="10"/>
        <v>0.76190476190476186</v>
      </c>
      <c r="E38" s="4">
        <v>4.99</v>
      </c>
      <c r="F38" s="4">
        <v>1.66</v>
      </c>
      <c r="G38" s="4">
        <v>0.46400000000000002</v>
      </c>
      <c r="I38" s="4">
        <v>7</v>
      </c>
      <c r="J38" s="4">
        <v>16.82</v>
      </c>
      <c r="K38" s="4">
        <v>21</v>
      </c>
      <c r="L38" s="9">
        <f t="shared" si="11"/>
        <v>0.80095238095238097</v>
      </c>
      <c r="M38" s="4">
        <v>4.18</v>
      </c>
      <c r="N38" s="4">
        <v>1.01</v>
      </c>
      <c r="O38" s="4">
        <v>0.03</v>
      </c>
      <c r="Q38" s="4">
        <v>7</v>
      </c>
      <c r="R38" s="4">
        <v>13.64</v>
      </c>
      <c r="S38" s="4">
        <v>20</v>
      </c>
      <c r="T38" s="9">
        <f t="shared" si="12"/>
        <v>0.68200000000000005</v>
      </c>
      <c r="U38" s="4">
        <v>6.36</v>
      </c>
      <c r="V38" s="4">
        <v>1.0900000000000001</v>
      </c>
      <c r="W38" s="4">
        <v>0.127</v>
      </c>
      <c r="Y38" s="4">
        <v>7</v>
      </c>
      <c r="Z38" s="4">
        <v>16.13</v>
      </c>
      <c r="AA38" s="4">
        <v>21</v>
      </c>
      <c r="AB38" s="9">
        <f t="shared" si="13"/>
        <v>0.76809523809523805</v>
      </c>
      <c r="AC38" s="4">
        <v>4.87</v>
      </c>
      <c r="AD38" s="4">
        <v>1.1000000000000001</v>
      </c>
      <c r="AE38" s="4">
        <v>0.17899999999999999</v>
      </c>
      <c r="AG38" s="4">
        <v>7</v>
      </c>
      <c r="AH38" s="4">
        <v>10.130000000000001</v>
      </c>
      <c r="AI38" s="4">
        <v>20</v>
      </c>
      <c r="AJ38" s="9">
        <f t="shared" si="14"/>
        <v>0.50650000000000006</v>
      </c>
      <c r="AK38" s="4">
        <v>9.8699999999999992</v>
      </c>
      <c r="AL38" s="4">
        <v>1.1000000000000001</v>
      </c>
      <c r="AM38" s="4">
        <v>0.191</v>
      </c>
    </row>
    <row r="39" spans="1:39" x14ac:dyDescent="0.3">
      <c r="A39" s="4">
        <v>8</v>
      </c>
      <c r="B39" s="5">
        <v>15.9</v>
      </c>
      <c r="C39" s="4">
        <v>21</v>
      </c>
      <c r="D39" s="9">
        <f t="shared" si="10"/>
        <v>0.75714285714285712</v>
      </c>
      <c r="E39" s="4">
        <v>5.05</v>
      </c>
      <c r="F39" s="4">
        <v>1.81</v>
      </c>
      <c r="G39" s="4">
        <v>0.61299999999999999</v>
      </c>
      <c r="I39" s="4">
        <v>8</v>
      </c>
      <c r="J39" s="4">
        <v>15.19</v>
      </c>
      <c r="K39" s="4">
        <v>21</v>
      </c>
      <c r="L39" s="9">
        <f t="shared" si="11"/>
        <v>0.72333333333333327</v>
      </c>
      <c r="M39" s="4">
        <v>5.81</v>
      </c>
      <c r="N39" s="4">
        <v>1.01</v>
      </c>
      <c r="O39" s="4">
        <v>2.8000000000000001E-2</v>
      </c>
      <c r="Q39" s="4">
        <v>8</v>
      </c>
      <c r="R39" s="4">
        <v>13.75</v>
      </c>
      <c r="S39" s="4">
        <v>19</v>
      </c>
      <c r="T39" s="9">
        <f t="shared" si="12"/>
        <v>0.72368421052631582</v>
      </c>
      <c r="U39" s="4">
        <v>5.25</v>
      </c>
      <c r="V39" s="4">
        <v>1.08</v>
      </c>
      <c r="W39" s="4">
        <v>0.111</v>
      </c>
      <c r="Y39" s="4">
        <v>8</v>
      </c>
      <c r="Z39" s="4">
        <v>11.83</v>
      </c>
      <c r="AA39" s="4">
        <v>21</v>
      </c>
      <c r="AB39" s="9">
        <f t="shared" si="13"/>
        <v>0.56333333333333335</v>
      </c>
      <c r="AC39" s="4">
        <v>9.17</v>
      </c>
      <c r="AD39" s="4">
        <v>1.04</v>
      </c>
      <c r="AE39" s="4">
        <v>8.7999999999999995E-2</v>
      </c>
      <c r="AG39" s="4">
        <v>8</v>
      </c>
      <c r="AH39" s="4">
        <v>18.829999999999998</v>
      </c>
      <c r="AI39" s="4">
        <v>19</v>
      </c>
      <c r="AJ39" s="9">
        <f t="shared" si="14"/>
        <v>0.9910526315789473</v>
      </c>
      <c r="AK39" s="4">
        <v>0.17</v>
      </c>
      <c r="AL39" s="4">
        <v>1.52</v>
      </c>
      <c r="AM39" s="4">
        <v>0.32900000000000001</v>
      </c>
    </row>
    <row r="40" spans="1:39" x14ac:dyDescent="0.3">
      <c r="A40" s="4">
        <v>9</v>
      </c>
      <c r="B40" s="5">
        <v>23.2</v>
      </c>
      <c r="C40" s="4">
        <v>21</v>
      </c>
      <c r="D40" s="9">
        <f t="shared" si="10"/>
        <v>0.89523809523809528</v>
      </c>
      <c r="E40" s="4">
        <v>2.21</v>
      </c>
      <c r="F40" s="4">
        <v>1.98</v>
      </c>
      <c r="G40" s="4">
        <v>0.39700000000000002</v>
      </c>
      <c r="I40" s="4">
        <v>9</v>
      </c>
      <c r="J40" s="4">
        <v>17.03</v>
      </c>
      <c r="K40" s="4">
        <v>21</v>
      </c>
      <c r="L40" s="9">
        <f t="shared" si="11"/>
        <v>0.81095238095238098</v>
      </c>
      <c r="M40" s="4">
        <v>3.97</v>
      </c>
      <c r="N40" s="4">
        <v>1.01</v>
      </c>
      <c r="O40" s="4">
        <v>1.7999999999999999E-2</v>
      </c>
      <c r="Q40" s="4">
        <v>9</v>
      </c>
      <c r="R40" s="4">
        <v>14.49</v>
      </c>
      <c r="S40" s="4">
        <v>19</v>
      </c>
      <c r="T40" s="9">
        <f t="shared" si="12"/>
        <v>0.76263157894736844</v>
      </c>
      <c r="U40" s="4">
        <v>4.51</v>
      </c>
      <c r="V40" s="4">
        <v>1.1000000000000001</v>
      </c>
      <c r="W40" s="4">
        <v>0.124</v>
      </c>
      <c r="Y40" s="4">
        <v>9</v>
      </c>
      <c r="Z40" s="4">
        <v>21.53</v>
      </c>
      <c r="AA40" s="4">
        <v>21</v>
      </c>
      <c r="AB40" s="9">
        <f t="shared" si="13"/>
        <v>0.97476190476190472</v>
      </c>
      <c r="AC40" s="4">
        <v>0.53</v>
      </c>
      <c r="AD40" s="4">
        <v>1.02</v>
      </c>
      <c r="AE40" s="4">
        <v>4.9000000000000002E-2</v>
      </c>
      <c r="AG40" s="4">
        <v>9</v>
      </c>
      <c r="AH40" s="4">
        <v>16.29</v>
      </c>
      <c r="AI40" s="4">
        <v>19</v>
      </c>
      <c r="AJ40" s="9">
        <f t="shared" si="14"/>
        <v>0.85736842105263156</v>
      </c>
      <c r="AK40" s="4">
        <v>2.71</v>
      </c>
      <c r="AL40" s="4">
        <v>1.06</v>
      </c>
      <c r="AM40" s="4">
        <v>0.125</v>
      </c>
    </row>
    <row r="41" spans="1:39" x14ac:dyDescent="0.3">
      <c r="A41" s="4">
        <v>10</v>
      </c>
      <c r="B41" s="5">
        <v>17.600000000000001</v>
      </c>
      <c r="C41" s="4">
        <v>21</v>
      </c>
      <c r="D41" s="9">
        <f t="shared" si="10"/>
        <v>0.83809523809523812</v>
      </c>
      <c r="E41" s="4">
        <v>3.39</v>
      </c>
      <c r="F41" s="4">
        <v>2.2400000000000002</v>
      </c>
      <c r="G41" s="4">
        <v>0.58799999999999997</v>
      </c>
      <c r="I41" s="4">
        <v>10</v>
      </c>
      <c r="J41" s="6">
        <v>16.489999999999998</v>
      </c>
      <c r="K41" s="4">
        <v>21</v>
      </c>
      <c r="L41" s="9">
        <f t="shared" si="11"/>
        <v>0.78523809523809518</v>
      </c>
      <c r="M41" s="6">
        <v>4.51</v>
      </c>
      <c r="N41" s="4">
        <v>1.01</v>
      </c>
      <c r="O41" s="4">
        <v>2.3E-2</v>
      </c>
      <c r="Q41" s="4">
        <v>10</v>
      </c>
      <c r="R41" s="6">
        <v>13.2</v>
      </c>
      <c r="S41" s="4">
        <v>20</v>
      </c>
      <c r="T41" s="9">
        <f t="shared" si="12"/>
        <v>0.65999999999999992</v>
      </c>
      <c r="U41" s="6">
        <v>6.8</v>
      </c>
      <c r="V41" s="4">
        <v>1.1200000000000001</v>
      </c>
      <c r="W41" s="4">
        <v>0.158</v>
      </c>
      <c r="Y41" s="4">
        <v>10</v>
      </c>
      <c r="Z41" s="6">
        <v>20.45</v>
      </c>
      <c r="AA41" s="4">
        <v>21</v>
      </c>
      <c r="AB41" s="9">
        <f t="shared" si="13"/>
        <v>0.97380952380952379</v>
      </c>
      <c r="AC41" s="6">
        <v>0.55000000000000004</v>
      </c>
      <c r="AD41" s="6">
        <v>1.02</v>
      </c>
      <c r="AE41" s="4">
        <v>5.7000000000000002E-2</v>
      </c>
      <c r="AG41" s="4">
        <v>10</v>
      </c>
      <c r="AH41" s="6">
        <v>13.39</v>
      </c>
      <c r="AI41" s="4">
        <v>20</v>
      </c>
      <c r="AJ41" s="9">
        <f t="shared" si="14"/>
        <v>0.66949999999999998</v>
      </c>
      <c r="AK41" s="6">
        <v>6.61</v>
      </c>
      <c r="AL41" s="4">
        <v>1.03</v>
      </c>
      <c r="AM41" s="4">
        <v>6.7000000000000004E-2</v>
      </c>
    </row>
    <row r="42" spans="1:39" x14ac:dyDescent="0.3">
      <c r="A42" s="7"/>
      <c r="B42" s="8"/>
      <c r="C42" s="7"/>
      <c r="D42" s="10" t="str">
        <f>TEXT(AVERAGE(D32:D41),"0.0%")&amp; "±" &amp;TEXT(_xlfn.STDEV.S(D32:D41),"0.0%")</f>
        <v>83.5%±9.3%</v>
      </c>
      <c r="E42" s="10">
        <f>AVERAGE(E32:E41)</f>
        <v>3.383</v>
      </c>
      <c r="F42" s="10">
        <f>AVERAGE(F32:F41)</f>
        <v>1.8810000000000002</v>
      </c>
      <c r="G42" s="10">
        <f>AVERAGE(G32:G41)</f>
        <v>0.5474</v>
      </c>
      <c r="L42" s="10" t="str">
        <f>TEXT(AVERAGE(L32:L41),"0.0%")&amp; "±" &amp;TEXT(_xlfn.STDEV.S(L32:L41),"0.0%")</f>
        <v>82.9%±10.7%</v>
      </c>
      <c r="M42" s="10">
        <f>AVERAGE(M32:M41)</f>
        <v>3.5119999999999996</v>
      </c>
      <c r="N42" s="10">
        <f>AVERAGE(N32:N41)</f>
        <v>1.008</v>
      </c>
      <c r="O42" s="10">
        <f>AVERAGE(O32:O41)</f>
        <v>2.2399999999999996E-2</v>
      </c>
      <c r="T42" s="10" t="str">
        <f>TEXT(AVERAGE(T32:T41),"0.0%")&amp; "±" &amp;TEXT(_xlfn.STDEV.S(T32:T41),"0.0%")</f>
        <v>72.1%±8.0%</v>
      </c>
      <c r="U42" s="10">
        <f>AVERAGE(U32:U41)</f>
        <v>5.5249999999999995</v>
      </c>
      <c r="V42" s="10">
        <f>AVERAGE(V32:V41)</f>
        <v>1.1350000000000002</v>
      </c>
      <c r="W42" s="10">
        <f>AVERAGE(W32:W41)</f>
        <v>0.14360000000000001</v>
      </c>
      <c r="AB42" s="10" t="str">
        <f>TEXT(AVERAGE(AB32:AB41),"0.0%")&amp; "±" &amp;TEXT(_xlfn.STDEV.S(AB32:AB41),"0.0%")</f>
        <v>85.6%±15.5%</v>
      </c>
      <c r="AC42" s="10">
        <f>AVERAGE(AC32:AC41)</f>
        <v>2.9690000000000003</v>
      </c>
      <c r="AD42" s="10">
        <f>AVERAGE(AD32:AD41)</f>
        <v>1.1399999999999999</v>
      </c>
      <c r="AE42" s="10">
        <f>AVERAGE(AE32:AE41)</f>
        <v>0.11649999999999998</v>
      </c>
      <c r="AJ42" s="10" t="str">
        <f>TEXT(AVERAGE(AJ32:AJ41),"0.0%")&amp; "±" &amp;TEXT(_xlfn.STDEV.S(AJ32:AJ41),"0.0%")</f>
        <v>77.2%±17.1%</v>
      </c>
      <c r="AK42" s="10">
        <f>AVERAGE(AK32:AK41)</f>
        <v>4.548</v>
      </c>
      <c r="AL42" s="10">
        <f>AVERAGE(AL32:AL41)</f>
        <v>1.1949999999999998</v>
      </c>
      <c r="AM42" s="10">
        <f>AVERAGE(AM32:AM41)</f>
        <v>0.1646</v>
      </c>
    </row>
    <row r="43" spans="1:39" x14ac:dyDescent="0.3">
      <c r="A43" s="7"/>
      <c r="B43" s="7"/>
      <c r="C43" s="7"/>
      <c r="D43" s="7"/>
      <c r="E43" s="7"/>
      <c r="F43" s="7"/>
      <c r="G43" s="7"/>
    </row>
    <row r="44" spans="1:39" x14ac:dyDescent="0.3">
      <c r="A44" s="13" t="s">
        <v>9</v>
      </c>
      <c r="B44" s="13"/>
      <c r="C44" s="13"/>
      <c r="D44" s="13"/>
      <c r="E44" s="13"/>
      <c r="F44" s="13"/>
      <c r="G44" s="13"/>
      <c r="I44" s="12" t="s">
        <v>18</v>
      </c>
      <c r="J44" s="12"/>
      <c r="K44" s="12"/>
      <c r="L44" s="12"/>
      <c r="M44" s="12"/>
      <c r="N44" s="12"/>
      <c r="O44" s="12"/>
      <c r="Q44" s="12" t="s">
        <v>19</v>
      </c>
      <c r="R44" s="12"/>
      <c r="S44" s="12"/>
      <c r="T44" s="12"/>
      <c r="U44" s="12"/>
      <c r="V44" s="12"/>
      <c r="W44" s="12"/>
      <c r="Y44" s="11" t="s">
        <v>18</v>
      </c>
      <c r="Z44" s="11"/>
      <c r="AA44" s="11"/>
      <c r="AB44" s="11"/>
      <c r="AC44" s="11"/>
      <c r="AD44" s="11"/>
      <c r="AE44" s="11"/>
      <c r="AG44" s="11" t="s">
        <v>19</v>
      </c>
      <c r="AH44" s="11"/>
      <c r="AI44" s="11"/>
      <c r="AJ44" s="11"/>
      <c r="AK44" s="11"/>
      <c r="AL44" s="11"/>
      <c r="AM44" s="11"/>
    </row>
    <row r="45" spans="1:39" x14ac:dyDescent="0.3">
      <c r="A45" s="3" t="s">
        <v>0</v>
      </c>
      <c r="B45" s="3" t="s">
        <v>1</v>
      </c>
      <c r="C45" s="3" t="s">
        <v>2</v>
      </c>
      <c r="D45" s="3" t="s">
        <v>26</v>
      </c>
      <c r="E45" s="3" t="s">
        <v>3</v>
      </c>
      <c r="F45" s="3" t="s">
        <v>4</v>
      </c>
      <c r="G45" s="3" t="s">
        <v>5</v>
      </c>
      <c r="I45" s="3" t="s">
        <v>0</v>
      </c>
      <c r="J45" s="3" t="s">
        <v>1</v>
      </c>
      <c r="K45" s="3" t="s">
        <v>2</v>
      </c>
      <c r="L45" s="3" t="s">
        <v>26</v>
      </c>
      <c r="M45" s="3" t="s">
        <v>3</v>
      </c>
      <c r="N45" s="3" t="s">
        <v>4</v>
      </c>
      <c r="O45" s="3" t="s">
        <v>5</v>
      </c>
      <c r="Q45" s="3" t="s">
        <v>0</v>
      </c>
      <c r="R45" s="3" t="s">
        <v>1</v>
      </c>
      <c r="S45" s="3" t="s">
        <v>2</v>
      </c>
      <c r="T45" s="3" t="s">
        <v>26</v>
      </c>
      <c r="U45" s="3" t="s">
        <v>3</v>
      </c>
      <c r="V45" s="3" t="s">
        <v>4</v>
      </c>
      <c r="W45" s="3" t="s">
        <v>5</v>
      </c>
      <c r="Y45" s="3" t="s">
        <v>0</v>
      </c>
      <c r="Z45" s="3" t="s">
        <v>1</v>
      </c>
      <c r="AA45" s="3" t="s">
        <v>2</v>
      </c>
      <c r="AB45" s="3" t="s">
        <v>26</v>
      </c>
      <c r="AC45" s="3" t="s">
        <v>3</v>
      </c>
      <c r="AD45" s="3" t="s">
        <v>4</v>
      </c>
      <c r="AE45" s="3" t="s">
        <v>5</v>
      </c>
      <c r="AG45" s="3" t="s">
        <v>0</v>
      </c>
      <c r="AH45" s="3" t="s">
        <v>1</v>
      </c>
      <c r="AI45" s="3" t="s">
        <v>2</v>
      </c>
      <c r="AJ45" s="3" t="s">
        <v>26</v>
      </c>
      <c r="AK45" s="3" t="s">
        <v>3</v>
      </c>
      <c r="AL45" s="3" t="s">
        <v>4</v>
      </c>
      <c r="AM45" s="3" t="s">
        <v>5</v>
      </c>
    </row>
    <row r="46" spans="1:39" x14ac:dyDescent="0.3">
      <c r="A46" s="4">
        <v>1</v>
      </c>
      <c r="B46" s="5">
        <v>28.3</v>
      </c>
      <c r="C46" s="4">
        <v>21</v>
      </c>
      <c r="D46" s="9">
        <f>(C46-ABS(C46-B46))/C46</f>
        <v>0.65238095238095239</v>
      </c>
      <c r="E46" s="4">
        <v>7.3</v>
      </c>
      <c r="F46" s="4">
        <v>1.69</v>
      </c>
      <c r="G46" s="4">
        <v>0.63100000000000001</v>
      </c>
      <c r="I46" s="4">
        <v>1</v>
      </c>
      <c r="J46" s="4">
        <v>5.78</v>
      </c>
      <c r="K46" s="4">
        <v>20</v>
      </c>
      <c r="L46" s="9">
        <f>(K46-ABS(K46-J46))/K46</f>
        <v>0.28900000000000003</v>
      </c>
      <c r="M46" s="4">
        <v>14.22</v>
      </c>
      <c r="N46" s="4">
        <v>1.03</v>
      </c>
      <c r="O46" s="4">
        <v>7.1999999999999995E-2</v>
      </c>
      <c r="Q46" s="4">
        <v>1</v>
      </c>
      <c r="R46" s="4">
        <v>68.680000000000007</v>
      </c>
      <c r="S46" s="4">
        <v>20</v>
      </c>
      <c r="T46" s="9">
        <f>(S46-ABS(S46-R46))/S46</f>
        <v>-1.4340000000000004</v>
      </c>
      <c r="U46" s="4">
        <v>48.68</v>
      </c>
      <c r="V46" s="4">
        <v>1.74</v>
      </c>
      <c r="W46" s="4">
        <v>0.60399999999999998</v>
      </c>
      <c r="Y46" s="4">
        <v>1</v>
      </c>
      <c r="Z46" s="4">
        <v>6.03</v>
      </c>
      <c r="AA46" s="4">
        <v>20</v>
      </c>
      <c r="AB46" s="9">
        <f>(AA46-ABS(AA46-Z46))/AA46</f>
        <v>0.30150000000000005</v>
      </c>
      <c r="AC46" s="4">
        <v>13.97</v>
      </c>
      <c r="AD46" s="4">
        <v>1.02</v>
      </c>
      <c r="AE46" s="4">
        <v>4.9000000000000002E-2</v>
      </c>
      <c r="AG46" s="4">
        <v>1</v>
      </c>
      <c r="AH46" s="4">
        <v>51.99</v>
      </c>
      <c r="AI46" s="4">
        <v>20</v>
      </c>
      <c r="AJ46" s="9">
        <f>(AI46-ABS(AI46-AH46))/AI46</f>
        <v>-0.59950000000000014</v>
      </c>
      <c r="AK46" s="4">
        <v>31.99</v>
      </c>
      <c r="AL46" s="4">
        <v>1.39</v>
      </c>
      <c r="AM46" s="4">
        <v>0.52900000000000003</v>
      </c>
    </row>
    <row r="47" spans="1:39" x14ac:dyDescent="0.3">
      <c r="A47" s="4">
        <v>2</v>
      </c>
      <c r="B47" s="5">
        <v>14.1</v>
      </c>
      <c r="C47" s="4">
        <v>19</v>
      </c>
      <c r="D47" s="9">
        <f t="shared" ref="D47:D55" si="15">(C47-ABS(C47-B47))/C47</f>
        <v>0.74210526315789471</v>
      </c>
      <c r="E47" s="4">
        <v>4.9400000000000004</v>
      </c>
      <c r="F47" s="4">
        <v>2.21</v>
      </c>
      <c r="G47" s="4">
        <v>0.81899999999999995</v>
      </c>
      <c r="I47" s="4">
        <v>2</v>
      </c>
      <c r="J47" s="4">
        <v>5.21</v>
      </c>
      <c r="K47" s="4">
        <v>22</v>
      </c>
      <c r="L47" s="9">
        <f t="shared" ref="L47:L55" si="16">(K47-ABS(K47-J47))/K47</f>
        <v>0.23681818181818184</v>
      </c>
      <c r="M47" s="4">
        <v>16.79</v>
      </c>
      <c r="N47" s="4">
        <v>1.06</v>
      </c>
      <c r="O47" s="4">
        <v>0.09</v>
      </c>
      <c r="Q47" s="4">
        <v>2</v>
      </c>
      <c r="R47" s="4">
        <v>56.97</v>
      </c>
      <c r="S47" s="4">
        <v>21</v>
      </c>
      <c r="T47" s="9">
        <f t="shared" ref="T47:T55" si="17">(S47-ABS(S47-R47))/S47</f>
        <v>-0.71285714285714286</v>
      </c>
      <c r="U47" s="4">
        <v>35.97</v>
      </c>
      <c r="V47" s="4">
        <v>1.66</v>
      </c>
      <c r="W47" s="4">
        <v>0.70399999999999996</v>
      </c>
      <c r="Y47" s="4">
        <v>2</v>
      </c>
      <c r="Z47" s="4">
        <v>6.52</v>
      </c>
      <c r="AA47" s="4">
        <v>22</v>
      </c>
      <c r="AB47" s="9">
        <f t="shared" ref="AB47:AB55" si="18">(AA47-ABS(AA47-Z47))/AA47</f>
        <v>0.29636363636363633</v>
      </c>
      <c r="AC47" s="4">
        <v>15.48</v>
      </c>
      <c r="AD47" s="4">
        <v>1.02</v>
      </c>
      <c r="AE47" s="4">
        <v>5.5E-2</v>
      </c>
      <c r="AG47" s="4">
        <v>2</v>
      </c>
      <c r="AH47" s="4">
        <v>61.69</v>
      </c>
      <c r="AI47" s="4">
        <v>21</v>
      </c>
      <c r="AJ47" s="9">
        <f t="shared" ref="AJ47:AJ55" si="19">(AI47-ABS(AI47-AH47))/AI47</f>
        <v>-0.93761904761904746</v>
      </c>
      <c r="AK47" s="4">
        <v>40.69</v>
      </c>
      <c r="AL47" s="4">
        <v>1.17</v>
      </c>
      <c r="AM47" s="4">
        <v>0.312</v>
      </c>
    </row>
    <row r="48" spans="1:39" x14ac:dyDescent="0.3">
      <c r="A48" s="4">
        <v>3</v>
      </c>
      <c r="B48" s="5">
        <v>19.899999999999999</v>
      </c>
      <c r="C48" s="4">
        <v>21</v>
      </c>
      <c r="D48" s="9">
        <f t="shared" si="15"/>
        <v>0.94761904761904758</v>
      </c>
      <c r="E48" s="4">
        <v>1.1399999999999999</v>
      </c>
      <c r="F48" s="4">
        <v>1.61</v>
      </c>
      <c r="G48" s="4">
        <v>0.60299999999999998</v>
      </c>
      <c r="I48" s="4">
        <v>3</v>
      </c>
      <c r="J48" s="4">
        <v>5.76</v>
      </c>
      <c r="K48" s="4">
        <v>21</v>
      </c>
      <c r="L48" s="9">
        <f t="shared" si="16"/>
        <v>0.2742857142857143</v>
      </c>
      <c r="M48" s="4">
        <v>15.24</v>
      </c>
      <c r="N48" s="4">
        <v>1.05</v>
      </c>
      <c r="O48" s="4">
        <v>7.0999999999999994E-2</v>
      </c>
      <c r="Q48" s="4">
        <v>3</v>
      </c>
      <c r="R48" s="4">
        <v>60.53</v>
      </c>
      <c r="S48" s="4">
        <v>21</v>
      </c>
      <c r="T48" s="9">
        <f t="shared" si="17"/>
        <v>-0.88238095238095249</v>
      </c>
      <c r="U48" s="4">
        <v>39.53</v>
      </c>
      <c r="V48" s="4">
        <v>1.64</v>
      </c>
      <c r="W48" s="4">
        <v>0.67200000000000004</v>
      </c>
      <c r="Y48" s="4">
        <v>3</v>
      </c>
      <c r="Z48" s="4">
        <v>4.75</v>
      </c>
      <c r="AA48" s="4">
        <v>21</v>
      </c>
      <c r="AB48" s="9">
        <f t="shared" si="18"/>
        <v>0.22619047619047619</v>
      </c>
      <c r="AC48" s="4">
        <v>16.25</v>
      </c>
      <c r="AD48" s="4">
        <v>1.07</v>
      </c>
      <c r="AE48" s="4">
        <v>0.13700000000000001</v>
      </c>
      <c r="AG48" s="4">
        <v>3</v>
      </c>
      <c r="AH48" s="4">
        <v>74.61</v>
      </c>
      <c r="AI48" s="4">
        <v>21</v>
      </c>
      <c r="AJ48" s="9">
        <f t="shared" si="19"/>
        <v>-1.5528571428571429</v>
      </c>
      <c r="AK48" s="4">
        <v>53.61</v>
      </c>
      <c r="AL48" s="4">
        <v>1.94</v>
      </c>
      <c r="AM48" s="4">
        <v>0.68200000000000005</v>
      </c>
    </row>
    <row r="49" spans="1:39" x14ac:dyDescent="0.3">
      <c r="A49" s="4">
        <v>4</v>
      </c>
      <c r="B49" s="5">
        <v>25</v>
      </c>
      <c r="C49" s="4">
        <v>20</v>
      </c>
      <c r="D49" s="9">
        <f t="shared" si="15"/>
        <v>0.75</v>
      </c>
      <c r="E49" s="4">
        <v>4.97</v>
      </c>
      <c r="F49" s="4">
        <v>1.54</v>
      </c>
      <c r="G49" s="4">
        <v>0.53</v>
      </c>
      <c r="I49" s="4">
        <v>4</v>
      </c>
      <c r="J49" s="4">
        <v>5.7</v>
      </c>
      <c r="K49" s="4">
        <v>21</v>
      </c>
      <c r="L49" s="9">
        <f t="shared" si="16"/>
        <v>0.27142857142857141</v>
      </c>
      <c r="M49" s="4">
        <v>15.3</v>
      </c>
      <c r="N49" s="4">
        <v>1.05</v>
      </c>
      <c r="O49" s="4">
        <v>7.3999999999999996E-2</v>
      </c>
      <c r="Q49" s="4">
        <v>4</v>
      </c>
      <c r="R49" s="4">
        <v>55.22</v>
      </c>
      <c r="S49" s="4">
        <v>19</v>
      </c>
      <c r="T49" s="9">
        <f t="shared" si="17"/>
        <v>-0.90631578947368419</v>
      </c>
      <c r="U49" s="4">
        <v>36.22</v>
      </c>
      <c r="V49" s="4">
        <v>1.63</v>
      </c>
      <c r="W49" s="4">
        <v>0.622</v>
      </c>
      <c r="Y49" s="4">
        <v>4</v>
      </c>
      <c r="Z49" s="4">
        <v>6.93</v>
      </c>
      <c r="AA49" s="4">
        <v>21</v>
      </c>
      <c r="AB49" s="9">
        <f t="shared" si="18"/>
        <v>0.32999999999999996</v>
      </c>
      <c r="AC49" s="4">
        <v>14.07</v>
      </c>
      <c r="AD49" s="4">
        <v>1.05</v>
      </c>
      <c r="AE49" s="4">
        <v>0.11</v>
      </c>
      <c r="AG49" s="4">
        <v>4</v>
      </c>
      <c r="AH49" s="4">
        <v>73.63</v>
      </c>
      <c r="AI49" s="4">
        <v>19</v>
      </c>
      <c r="AJ49" s="9">
        <f t="shared" si="19"/>
        <v>-1.8752631578947365</v>
      </c>
      <c r="AK49" s="4">
        <v>54.63</v>
      </c>
      <c r="AL49" s="4">
        <v>2.72</v>
      </c>
      <c r="AM49" s="4">
        <v>0.98799999999999999</v>
      </c>
    </row>
    <row r="50" spans="1:39" x14ac:dyDescent="0.3">
      <c r="A50" s="4">
        <v>5</v>
      </c>
      <c r="B50" s="5">
        <v>21</v>
      </c>
      <c r="C50" s="4">
        <v>20</v>
      </c>
      <c r="D50" s="9">
        <f t="shared" si="15"/>
        <v>0.95</v>
      </c>
      <c r="E50" s="4">
        <v>1.01</v>
      </c>
      <c r="F50" s="4">
        <v>2.15</v>
      </c>
      <c r="G50" s="4">
        <v>0.60299999999999998</v>
      </c>
      <c r="I50" s="4">
        <v>5</v>
      </c>
      <c r="J50" s="4">
        <v>4.79</v>
      </c>
      <c r="K50" s="4">
        <v>20</v>
      </c>
      <c r="L50" s="9">
        <f t="shared" si="16"/>
        <v>0.23949999999999996</v>
      </c>
      <c r="M50" s="4">
        <v>15.03</v>
      </c>
      <c r="N50" s="4">
        <v>1.05</v>
      </c>
      <c r="O50" s="4">
        <v>0.113</v>
      </c>
      <c r="Q50" s="4">
        <v>5</v>
      </c>
      <c r="R50" s="4">
        <v>45.97</v>
      </c>
      <c r="S50" s="4">
        <v>20</v>
      </c>
      <c r="T50" s="9">
        <f t="shared" si="17"/>
        <v>-0.29849999999999993</v>
      </c>
      <c r="U50" s="4">
        <v>25.97</v>
      </c>
      <c r="V50" s="4">
        <v>1.94</v>
      </c>
      <c r="W50" s="4">
        <v>0.79400000000000004</v>
      </c>
      <c r="Y50" s="4">
        <v>5</v>
      </c>
      <c r="Z50" s="4">
        <v>5.6</v>
      </c>
      <c r="AA50" s="4">
        <v>20</v>
      </c>
      <c r="AB50" s="9">
        <f t="shared" si="18"/>
        <v>0.27999999999999997</v>
      </c>
      <c r="AC50" s="4">
        <v>14.4</v>
      </c>
      <c r="AD50" s="4">
        <v>1.1000000000000001</v>
      </c>
      <c r="AE50" s="4">
        <v>0.20300000000000001</v>
      </c>
      <c r="AG50" s="4">
        <v>5</v>
      </c>
      <c r="AH50" s="4">
        <v>65.59</v>
      </c>
      <c r="AI50" s="4">
        <v>20</v>
      </c>
      <c r="AJ50" s="9">
        <f t="shared" si="19"/>
        <v>-1.2795000000000001</v>
      </c>
      <c r="AK50" s="4">
        <v>45.59</v>
      </c>
      <c r="AL50" s="4">
        <v>1.34</v>
      </c>
      <c r="AM50" s="4">
        <v>0.44900000000000001</v>
      </c>
    </row>
    <row r="51" spans="1:39" x14ac:dyDescent="0.3">
      <c r="A51" s="4">
        <v>6</v>
      </c>
      <c r="B51" s="5">
        <v>17.600000000000001</v>
      </c>
      <c r="C51" s="4">
        <v>20</v>
      </c>
      <c r="D51" s="9">
        <f t="shared" si="15"/>
        <v>0.88000000000000012</v>
      </c>
      <c r="E51" s="4">
        <v>2.35</v>
      </c>
      <c r="F51" s="4">
        <v>1.65</v>
      </c>
      <c r="G51" s="4">
        <v>0.55000000000000004</v>
      </c>
      <c r="I51" s="4">
        <v>6</v>
      </c>
      <c r="J51" s="4">
        <v>5.47</v>
      </c>
      <c r="K51" s="4">
        <v>21</v>
      </c>
      <c r="L51" s="9">
        <f t="shared" si="16"/>
        <v>0.26047619047619042</v>
      </c>
      <c r="M51" s="4">
        <v>15.51</v>
      </c>
      <c r="N51" s="4">
        <v>1.04</v>
      </c>
      <c r="O51" s="4">
        <v>7.0000000000000007E-2</v>
      </c>
      <c r="Q51" s="4">
        <v>6</v>
      </c>
      <c r="R51" s="4">
        <v>41.87</v>
      </c>
      <c r="S51" s="4">
        <v>20</v>
      </c>
      <c r="T51" s="9">
        <f t="shared" si="17"/>
        <v>-9.3499999999999875E-2</v>
      </c>
      <c r="U51" s="4">
        <v>21.87</v>
      </c>
      <c r="V51" s="4">
        <v>1.68</v>
      </c>
      <c r="W51" s="4">
        <v>0.67700000000000005</v>
      </c>
      <c r="Y51" s="4">
        <v>6</v>
      </c>
      <c r="Z51" s="4">
        <v>5.08</v>
      </c>
      <c r="AA51" s="4">
        <v>21</v>
      </c>
      <c r="AB51" s="9">
        <f t="shared" si="18"/>
        <v>0.2419047619047619</v>
      </c>
      <c r="AC51" s="4">
        <v>15.92</v>
      </c>
      <c r="AD51" s="4">
        <v>2.04</v>
      </c>
      <c r="AE51" s="4">
        <v>0.48799999999999999</v>
      </c>
      <c r="AG51" s="4">
        <v>6</v>
      </c>
      <c r="AH51" s="4">
        <v>37.39</v>
      </c>
      <c r="AI51" s="4">
        <v>20</v>
      </c>
      <c r="AJ51" s="9">
        <f t="shared" si="19"/>
        <v>0.13049999999999998</v>
      </c>
      <c r="AK51" s="4">
        <v>17.39</v>
      </c>
      <c r="AL51" s="4">
        <v>1.94</v>
      </c>
      <c r="AM51" s="4">
        <v>0.78100000000000003</v>
      </c>
    </row>
    <row r="52" spans="1:39" x14ac:dyDescent="0.3">
      <c r="A52" s="4">
        <v>7</v>
      </c>
      <c r="B52" s="5">
        <v>24.9</v>
      </c>
      <c r="C52" s="4">
        <v>20</v>
      </c>
      <c r="D52" s="9">
        <f t="shared" si="15"/>
        <v>0.75500000000000012</v>
      </c>
      <c r="E52" s="4">
        <v>4.93</v>
      </c>
      <c r="F52" s="4">
        <v>1.72</v>
      </c>
      <c r="G52" s="4">
        <v>0.56200000000000006</v>
      </c>
      <c r="I52" s="4">
        <v>7</v>
      </c>
      <c r="J52" s="4">
        <v>5.69</v>
      </c>
      <c r="K52" s="4">
        <v>19</v>
      </c>
      <c r="L52" s="9">
        <f t="shared" si="16"/>
        <v>0.29947368421052639</v>
      </c>
      <c r="M52" s="4">
        <v>13.33</v>
      </c>
      <c r="N52" s="4">
        <v>1.05</v>
      </c>
      <c r="O52" s="4">
        <v>0.08</v>
      </c>
      <c r="Q52" s="4">
        <v>7</v>
      </c>
      <c r="R52" s="4">
        <v>48.74</v>
      </c>
      <c r="S52" s="4">
        <v>21</v>
      </c>
      <c r="T52" s="9">
        <f t="shared" si="17"/>
        <v>-0.32095238095238104</v>
      </c>
      <c r="U52" s="4">
        <v>27.74</v>
      </c>
      <c r="V52" s="4">
        <v>1.98</v>
      </c>
      <c r="W52" s="4">
        <v>0.74099999999999999</v>
      </c>
      <c r="Y52" s="4">
        <v>7</v>
      </c>
      <c r="Z52" s="4">
        <v>3.05</v>
      </c>
      <c r="AA52" s="4">
        <v>19</v>
      </c>
      <c r="AB52" s="9">
        <f t="shared" si="18"/>
        <v>0.16052631578947371</v>
      </c>
      <c r="AC52" s="4">
        <v>15.95</v>
      </c>
      <c r="AD52" s="4">
        <v>1.1299999999999999</v>
      </c>
      <c r="AE52" s="4">
        <v>0.248</v>
      </c>
      <c r="AG52" s="4">
        <v>7</v>
      </c>
      <c r="AH52" s="4">
        <v>50.62</v>
      </c>
      <c r="AI52" s="4">
        <v>21</v>
      </c>
      <c r="AJ52" s="9">
        <f t="shared" si="19"/>
        <v>-0.41047619047619033</v>
      </c>
      <c r="AK52" s="4">
        <v>29.62</v>
      </c>
      <c r="AL52" s="4">
        <v>3.39</v>
      </c>
      <c r="AM52" s="4">
        <v>1.0780000000000001</v>
      </c>
    </row>
    <row r="53" spans="1:39" x14ac:dyDescent="0.3">
      <c r="A53" s="4">
        <v>8</v>
      </c>
      <c r="B53" s="5">
        <v>15.7</v>
      </c>
      <c r="C53" s="4">
        <v>21</v>
      </c>
      <c r="D53" s="9">
        <f t="shared" si="15"/>
        <v>0.74761904761904763</v>
      </c>
      <c r="E53" s="4">
        <v>5.28</v>
      </c>
      <c r="F53" s="4">
        <v>2.12</v>
      </c>
      <c r="G53" s="4">
        <v>0.61199999999999999</v>
      </c>
      <c r="I53" s="4">
        <v>8</v>
      </c>
      <c r="J53" s="4">
        <v>5.21</v>
      </c>
      <c r="K53" s="4">
        <v>20</v>
      </c>
      <c r="L53" s="9">
        <f t="shared" si="16"/>
        <v>0.26050000000000006</v>
      </c>
      <c r="M53" s="4">
        <v>14.79</v>
      </c>
      <c r="N53" s="4">
        <v>1.06</v>
      </c>
      <c r="O53" s="4">
        <v>0.10199999999999999</v>
      </c>
      <c r="Q53" s="4">
        <v>8</v>
      </c>
      <c r="R53" s="4">
        <v>45.14</v>
      </c>
      <c r="S53" s="4">
        <v>21</v>
      </c>
      <c r="T53" s="9">
        <f t="shared" si="17"/>
        <v>-0.14952380952380956</v>
      </c>
      <c r="U53" s="4">
        <v>24.14</v>
      </c>
      <c r="V53" s="4">
        <v>1.77</v>
      </c>
      <c r="W53" s="4">
        <v>0.71299999999999997</v>
      </c>
      <c r="Y53" s="4">
        <v>8</v>
      </c>
      <c r="Z53" s="4">
        <v>4.01</v>
      </c>
      <c r="AA53" s="4">
        <v>20</v>
      </c>
      <c r="AB53" s="9">
        <f t="shared" si="18"/>
        <v>0.20049999999999998</v>
      </c>
      <c r="AC53" s="4">
        <v>15.99</v>
      </c>
      <c r="AD53" s="4">
        <v>1.85</v>
      </c>
      <c r="AE53" s="4">
        <v>0.36599999999999999</v>
      </c>
      <c r="AG53" s="4">
        <v>8</v>
      </c>
      <c r="AH53" s="4">
        <v>43.54</v>
      </c>
      <c r="AI53" s="4">
        <v>21</v>
      </c>
      <c r="AJ53" s="9">
        <f t="shared" si="19"/>
        <v>-7.3333333333333292E-2</v>
      </c>
      <c r="AK53" s="4">
        <v>22.54</v>
      </c>
      <c r="AL53" s="4">
        <v>2.44</v>
      </c>
      <c r="AM53" s="4">
        <v>0.86299999999999999</v>
      </c>
    </row>
    <row r="54" spans="1:39" x14ac:dyDescent="0.3">
      <c r="A54" s="4">
        <v>9</v>
      </c>
      <c r="B54" s="5">
        <v>27.8</v>
      </c>
      <c r="C54" s="4">
        <v>21</v>
      </c>
      <c r="D54" s="9">
        <f t="shared" si="15"/>
        <v>0.67619047619047612</v>
      </c>
      <c r="E54" s="4">
        <v>6.77</v>
      </c>
      <c r="F54" s="4">
        <v>1.63</v>
      </c>
      <c r="G54" s="4">
        <v>0.63600000000000001</v>
      </c>
      <c r="I54" s="4">
        <v>9</v>
      </c>
      <c r="J54" s="4">
        <v>5.87</v>
      </c>
      <c r="K54" s="4">
        <v>20</v>
      </c>
      <c r="L54" s="9">
        <f t="shared" si="16"/>
        <v>0.29350000000000004</v>
      </c>
      <c r="M54" s="4">
        <v>14.13</v>
      </c>
      <c r="N54" s="4">
        <v>1.05</v>
      </c>
      <c r="O54" s="4">
        <v>8.8999999999999996E-2</v>
      </c>
      <c r="Q54" s="4">
        <v>9</v>
      </c>
      <c r="R54" s="4">
        <v>51.27</v>
      </c>
      <c r="S54" s="4">
        <v>21</v>
      </c>
      <c r="T54" s="9">
        <f t="shared" si="17"/>
        <v>-0.44142857142857156</v>
      </c>
      <c r="U54" s="4">
        <v>30.27</v>
      </c>
      <c r="V54" s="4">
        <v>1.97</v>
      </c>
      <c r="W54" s="4">
        <v>0.745</v>
      </c>
      <c r="Y54" s="4">
        <v>9</v>
      </c>
      <c r="Z54" s="4">
        <v>4.92</v>
      </c>
      <c r="AA54" s="4">
        <v>20</v>
      </c>
      <c r="AB54" s="9">
        <f t="shared" si="18"/>
        <v>0.246</v>
      </c>
      <c r="AC54" s="4">
        <v>15.08</v>
      </c>
      <c r="AD54" s="4">
        <v>1.06</v>
      </c>
      <c r="AE54" s="4">
        <v>0.13</v>
      </c>
      <c r="AG54" s="4">
        <v>9</v>
      </c>
      <c r="AH54" s="4">
        <v>49.8</v>
      </c>
      <c r="AI54" s="4">
        <v>21</v>
      </c>
      <c r="AJ54" s="9">
        <f t="shared" si="19"/>
        <v>-0.37142857142857127</v>
      </c>
      <c r="AK54" s="4">
        <v>28.8</v>
      </c>
      <c r="AL54" s="4">
        <v>1.21</v>
      </c>
      <c r="AM54" s="4">
        <v>0.34699999999999998</v>
      </c>
    </row>
    <row r="55" spans="1:39" x14ac:dyDescent="0.3">
      <c r="A55" s="4">
        <v>10</v>
      </c>
      <c r="B55" s="5">
        <v>15.3</v>
      </c>
      <c r="C55" s="4">
        <v>20</v>
      </c>
      <c r="D55" s="9">
        <f t="shared" si="15"/>
        <v>0.76500000000000001</v>
      </c>
      <c r="E55" s="4">
        <v>4.74</v>
      </c>
      <c r="F55" s="4">
        <v>2.2000000000000002</v>
      </c>
      <c r="G55" s="4">
        <v>0.72599999999999998</v>
      </c>
      <c r="I55" s="4">
        <v>10</v>
      </c>
      <c r="J55" s="6">
        <v>5.54</v>
      </c>
      <c r="K55" s="4">
        <v>20</v>
      </c>
      <c r="L55" s="9">
        <f t="shared" si="16"/>
        <v>0.27699999999999997</v>
      </c>
      <c r="M55" s="6">
        <v>14.46</v>
      </c>
      <c r="N55" s="4">
        <v>1.06</v>
      </c>
      <c r="O55" s="4">
        <v>9.9000000000000005E-2</v>
      </c>
      <c r="Q55" s="4">
        <v>10</v>
      </c>
      <c r="R55" s="6">
        <v>45.2</v>
      </c>
      <c r="S55" s="4">
        <v>21</v>
      </c>
      <c r="T55" s="9">
        <f t="shared" si="17"/>
        <v>-0.15238095238095251</v>
      </c>
      <c r="U55" s="6">
        <v>24.2</v>
      </c>
      <c r="V55" s="4">
        <v>2.12</v>
      </c>
      <c r="W55" s="4">
        <v>0.80600000000000005</v>
      </c>
      <c r="Y55" s="4">
        <v>10</v>
      </c>
      <c r="Z55" s="6">
        <v>6.59</v>
      </c>
      <c r="AA55" s="4">
        <v>20</v>
      </c>
      <c r="AB55" s="9">
        <f t="shared" si="18"/>
        <v>0.32950000000000002</v>
      </c>
      <c r="AC55" s="6">
        <v>13.41</v>
      </c>
      <c r="AD55" s="4">
        <v>1.03</v>
      </c>
      <c r="AE55" s="4">
        <v>7.3999999999999996E-2</v>
      </c>
      <c r="AG55" s="4">
        <v>10</v>
      </c>
      <c r="AH55" s="6">
        <v>60.5</v>
      </c>
      <c r="AI55" s="4">
        <v>21</v>
      </c>
      <c r="AJ55" s="9">
        <f t="shared" si="19"/>
        <v>-0.88095238095238093</v>
      </c>
      <c r="AK55" s="6">
        <v>39.5</v>
      </c>
      <c r="AL55" s="4">
        <v>1.19</v>
      </c>
      <c r="AM55" s="4">
        <v>0.34200000000000003</v>
      </c>
    </row>
    <row r="56" spans="1:39" x14ac:dyDescent="0.3">
      <c r="A56" s="7"/>
      <c r="B56" s="8"/>
      <c r="C56" s="7"/>
      <c r="D56" s="10" t="str">
        <f>TEXT(AVERAGE(D46:D55),"0.0%")&amp; "±" &amp;TEXT(_xlfn.STDEV.S(D46:D55),"0.0%")</f>
        <v>78.7%±10.4%</v>
      </c>
      <c r="E56" s="10">
        <f>AVERAGE(E46:E55)</f>
        <v>4.3430000000000009</v>
      </c>
      <c r="F56" s="10">
        <f>AVERAGE(F46:F55)</f>
        <v>1.8519999999999999</v>
      </c>
      <c r="G56" s="10">
        <f>AVERAGE(G46:G55)</f>
        <v>0.62719999999999998</v>
      </c>
      <c r="L56" s="10" t="str">
        <f>TEXT(AVERAGE(L46:L55),"0.0%")&amp; "±" &amp;TEXT(_xlfn.STDEV.S(L46:L55),"0.0%")</f>
        <v>27.0%±2.1%</v>
      </c>
      <c r="M56" s="10">
        <f>AVERAGE(M46:M55)</f>
        <v>14.88</v>
      </c>
      <c r="N56" s="10">
        <f>AVERAGE(N46:N55)</f>
        <v>1.05</v>
      </c>
      <c r="O56" s="10">
        <f>AVERAGE(O46:O55)</f>
        <v>8.5999999999999993E-2</v>
      </c>
      <c r="T56" s="10" t="str">
        <f>TEXT(AVERAGE(T46:T55),"0.0%")&amp; "±" &amp;TEXT(_xlfn.STDEV.S(T46:T55),"0.0%")</f>
        <v>-53.9%±43.4%</v>
      </c>
      <c r="U56" s="10">
        <f>AVERAGE(U46:U55)</f>
        <v>31.458999999999996</v>
      </c>
      <c r="V56" s="10">
        <f>AVERAGE(V46:V55)</f>
        <v>1.8129999999999999</v>
      </c>
      <c r="W56" s="10">
        <f>AVERAGE(W46:W55)</f>
        <v>0.70779999999999998</v>
      </c>
      <c r="AB56" s="10" t="str">
        <f>TEXT(AVERAGE(AB46:AB55),"0.0%")&amp; "±" &amp;TEXT(_xlfn.STDEV.S(AB46:AB55),"0.0%")</f>
        <v>26.1%±5.6%</v>
      </c>
      <c r="AC56" s="10">
        <f>AVERAGE(AC46:AC55)</f>
        <v>15.052000000000001</v>
      </c>
      <c r="AD56" s="10">
        <f>AVERAGE(AD46:AD55)</f>
        <v>1.2369999999999999</v>
      </c>
      <c r="AE56" s="10">
        <f>AVERAGE(AE46:AE55)</f>
        <v>0.186</v>
      </c>
      <c r="AJ56" s="10" t="str">
        <f>TEXT(AVERAGE(AJ46:AJ55),"0.0%")&amp; "±" &amp;TEXT(_xlfn.STDEV.S(AJ46:AJ55),"0.0%")</f>
        <v>-78.5%±64.5%</v>
      </c>
      <c r="AK56" s="10">
        <f>AVERAGE(AK46:AK55)</f>
        <v>36.436</v>
      </c>
      <c r="AL56" s="10">
        <f>AVERAGE(AL46:AL55)</f>
        <v>1.8730000000000004</v>
      </c>
      <c r="AM56" s="10">
        <f>AVERAGE(AM46:AM55)</f>
        <v>0.6371</v>
      </c>
    </row>
    <row r="57" spans="1:39" x14ac:dyDescent="0.3">
      <c r="A57" s="7"/>
      <c r="B57" s="7"/>
      <c r="C57" s="7"/>
      <c r="D57" s="7"/>
      <c r="E57" s="7"/>
      <c r="F57" s="7"/>
      <c r="G57" s="7"/>
    </row>
    <row r="58" spans="1:39" x14ac:dyDescent="0.3">
      <c r="A58" s="13" t="s">
        <v>10</v>
      </c>
      <c r="B58" s="13"/>
      <c r="C58" s="13"/>
      <c r="D58" s="13"/>
      <c r="E58" s="13"/>
      <c r="F58" s="13"/>
      <c r="G58" s="13"/>
      <c r="I58" s="12" t="s">
        <v>20</v>
      </c>
      <c r="J58" s="12"/>
      <c r="K58" s="12"/>
      <c r="L58" s="12"/>
      <c r="M58" s="12"/>
      <c r="N58" s="12"/>
      <c r="O58" s="12"/>
      <c r="Q58" s="12" t="s">
        <v>21</v>
      </c>
      <c r="R58" s="12"/>
      <c r="S58" s="12"/>
      <c r="T58" s="12"/>
      <c r="U58" s="12"/>
      <c r="V58" s="12"/>
      <c r="W58" s="12"/>
      <c r="Y58" s="11" t="s">
        <v>20</v>
      </c>
      <c r="Z58" s="11"/>
      <c r="AA58" s="11"/>
      <c r="AB58" s="11"/>
      <c r="AC58" s="11"/>
      <c r="AD58" s="11"/>
      <c r="AE58" s="11"/>
      <c r="AG58" s="11" t="s">
        <v>21</v>
      </c>
      <c r="AH58" s="11"/>
      <c r="AI58" s="11"/>
      <c r="AJ58" s="11"/>
      <c r="AK58" s="11"/>
      <c r="AL58" s="11"/>
      <c r="AM58" s="11"/>
    </row>
    <row r="59" spans="1:39" x14ac:dyDescent="0.3">
      <c r="A59" s="3" t="s">
        <v>0</v>
      </c>
      <c r="B59" s="3" t="s">
        <v>1</v>
      </c>
      <c r="C59" s="3" t="s">
        <v>2</v>
      </c>
      <c r="D59" s="3" t="s">
        <v>26</v>
      </c>
      <c r="E59" s="3" t="s">
        <v>3</v>
      </c>
      <c r="F59" s="3" t="s">
        <v>4</v>
      </c>
      <c r="G59" s="3" t="s">
        <v>5</v>
      </c>
      <c r="I59" s="3" t="s">
        <v>0</v>
      </c>
      <c r="J59" s="3" t="s">
        <v>1</v>
      </c>
      <c r="K59" s="3" t="s">
        <v>2</v>
      </c>
      <c r="L59" s="3" t="s">
        <v>26</v>
      </c>
      <c r="M59" s="3" t="s">
        <v>3</v>
      </c>
      <c r="N59" s="3" t="s">
        <v>4</v>
      </c>
      <c r="O59" s="3" t="s">
        <v>5</v>
      </c>
      <c r="Q59" s="3" t="s">
        <v>0</v>
      </c>
      <c r="R59" s="3" t="s">
        <v>1</v>
      </c>
      <c r="S59" s="3" t="s">
        <v>2</v>
      </c>
      <c r="T59" s="3" t="s">
        <v>26</v>
      </c>
      <c r="U59" s="3" t="s">
        <v>3</v>
      </c>
      <c r="V59" s="3" t="s">
        <v>4</v>
      </c>
      <c r="W59" s="3" t="s">
        <v>5</v>
      </c>
      <c r="Y59" s="3" t="s">
        <v>0</v>
      </c>
      <c r="Z59" s="3" t="s">
        <v>1</v>
      </c>
      <c r="AA59" s="3" t="s">
        <v>2</v>
      </c>
      <c r="AB59" s="3" t="s">
        <v>26</v>
      </c>
      <c r="AC59" s="3" t="s">
        <v>3</v>
      </c>
      <c r="AD59" s="3" t="s">
        <v>4</v>
      </c>
      <c r="AE59" s="3" t="s">
        <v>5</v>
      </c>
      <c r="AG59" s="3" t="s">
        <v>0</v>
      </c>
      <c r="AH59" s="3" t="s">
        <v>1</v>
      </c>
      <c r="AI59" s="3" t="s">
        <v>2</v>
      </c>
      <c r="AJ59" s="3" t="s">
        <v>26</v>
      </c>
      <c r="AK59" s="3" t="s">
        <v>3</v>
      </c>
      <c r="AL59" s="3" t="s">
        <v>4</v>
      </c>
      <c r="AM59" s="3" t="s">
        <v>5</v>
      </c>
    </row>
    <row r="60" spans="1:39" x14ac:dyDescent="0.3">
      <c r="A60" s="4">
        <v>1</v>
      </c>
      <c r="B60" s="5">
        <v>19.600000000000001</v>
      </c>
      <c r="C60" s="4">
        <v>20</v>
      </c>
      <c r="D60" s="9">
        <f>(C60-ABS(C60-B60))/C60</f>
        <v>0.98000000000000009</v>
      </c>
      <c r="E60" s="4">
        <v>0.37</v>
      </c>
      <c r="F60" s="4">
        <v>2.2599999999999998</v>
      </c>
      <c r="G60" s="4">
        <v>0.77</v>
      </c>
      <c r="I60" s="4">
        <v>1</v>
      </c>
      <c r="J60" s="4">
        <v>6.24</v>
      </c>
      <c r="K60" s="4">
        <v>20</v>
      </c>
      <c r="L60" s="9">
        <f>(K60-ABS(K60-J60))/K60</f>
        <v>0.312</v>
      </c>
      <c r="M60" s="4">
        <v>13.76</v>
      </c>
      <c r="N60" s="4">
        <v>1.07</v>
      </c>
      <c r="O60" s="4">
        <v>0.14599999999999999</v>
      </c>
      <c r="Q60" s="4">
        <v>1</v>
      </c>
      <c r="R60" s="4">
        <v>73.83</v>
      </c>
      <c r="S60" s="4">
        <v>21</v>
      </c>
      <c r="T60" s="9">
        <f>(S60-ABS(S60-R60))/S60</f>
        <v>-1.5157142857142856</v>
      </c>
      <c r="U60" s="4">
        <v>52.83</v>
      </c>
      <c r="V60" s="4">
        <v>1.27</v>
      </c>
      <c r="W60" s="4">
        <v>0.40600000000000003</v>
      </c>
      <c r="Y60" s="4">
        <v>1</v>
      </c>
      <c r="Z60" s="4">
        <v>4.82</v>
      </c>
      <c r="AA60" s="4">
        <v>20</v>
      </c>
      <c r="AB60" s="9">
        <f>(AA60-ABS(AA60-Z60))/AA60</f>
        <v>0.24100000000000002</v>
      </c>
      <c r="AC60" s="4">
        <v>15.18</v>
      </c>
      <c r="AD60" s="4">
        <v>1.04</v>
      </c>
      <c r="AE60" s="4">
        <v>9.7000000000000003E-2</v>
      </c>
      <c r="AG60" s="4">
        <v>1</v>
      </c>
      <c r="AH60" s="4">
        <v>83.05</v>
      </c>
      <c r="AI60" s="4">
        <v>21</v>
      </c>
      <c r="AJ60" s="9">
        <f>(AI60-ABS(AI60-AH60))/AI60</f>
        <v>-1.9547619047619047</v>
      </c>
      <c r="AK60" s="4">
        <v>62.05</v>
      </c>
      <c r="AL60" s="4">
        <v>1.27</v>
      </c>
      <c r="AM60" s="4">
        <v>0.371</v>
      </c>
    </row>
    <row r="61" spans="1:39" x14ac:dyDescent="0.3">
      <c r="A61" s="4">
        <v>2</v>
      </c>
      <c r="B61" s="5">
        <v>18.600000000000001</v>
      </c>
      <c r="C61" s="4">
        <v>22</v>
      </c>
      <c r="D61" s="9">
        <f t="shared" ref="D61:D69" si="20">(C61-ABS(C61-B61))/C61</f>
        <v>0.84545454545454557</v>
      </c>
      <c r="E61" s="4">
        <v>3.44</v>
      </c>
      <c r="F61" s="4">
        <v>2.2000000000000002</v>
      </c>
      <c r="G61" s="4">
        <v>0.745</v>
      </c>
      <c r="I61" s="4">
        <v>2</v>
      </c>
      <c r="J61" s="4">
        <v>6.37</v>
      </c>
      <c r="K61" s="4">
        <v>22</v>
      </c>
      <c r="L61" s="9">
        <f t="shared" ref="L61:L69" si="21">(K61-ABS(K61-J61))/K61</f>
        <v>0.28954545454545461</v>
      </c>
      <c r="M61" s="4">
        <v>15.63</v>
      </c>
      <c r="N61" s="4">
        <v>1.04</v>
      </c>
      <c r="O61" s="4">
        <v>9.0999999999999998E-2</v>
      </c>
      <c r="Q61" s="4">
        <v>2</v>
      </c>
      <c r="R61" s="4">
        <v>48.34</v>
      </c>
      <c r="S61" s="4">
        <v>19</v>
      </c>
      <c r="T61" s="9">
        <f t="shared" ref="T61:T69" si="22">(S61-ABS(S61-R61))/S61</f>
        <v>-0.5442105263157897</v>
      </c>
      <c r="U61" s="4">
        <v>29.34</v>
      </c>
      <c r="V61" s="4">
        <v>1.67</v>
      </c>
      <c r="W61" s="4">
        <v>0.68600000000000005</v>
      </c>
      <c r="Y61" s="4">
        <v>2</v>
      </c>
      <c r="Z61" s="4">
        <v>7.68</v>
      </c>
      <c r="AA61" s="4">
        <v>22</v>
      </c>
      <c r="AB61" s="9">
        <f t="shared" ref="AB61:AB69" si="23">(AA61-ABS(AA61-Z61))/AA61</f>
        <v>0.34909090909090906</v>
      </c>
      <c r="AC61" s="4">
        <v>14.32</v>
      </c>
      <c r="AD61" s="4">
        <v>1.02</v>
      </c>
      <c r="AE61" s="4">
        <v>4.1000000000000002E-2</v>
      </c>
      <c r="AG61" s="4">
        <v>2</v>
      </c>
      <c r="AH61" s="4">
        <v>48.02</v>
      </c>
      <c r="AI61" s="4">
        <v>19</v>
      </c>
      <c r="AJ61" s="9">
        <f t="shared" ref="AJ61:AJ69" si="24">(AI61-ABS(AI61-AH61))/AI61</f>
        <v>-0.52736842105263171</v>
      </c>
      <c r="AK61" s="4">
        <v>29.02</v>
      </c>
      <c r="AL61" s="4">
        <v>1.1299999999999999</v>
      </c>
      <c r="AM61" s="4">
        <v>0.254</v>
      </c>
    </row>
    <row r="62" spans="1:39" x14ac:dyDescent="0.3">
      <c r="A62" s="4">
        <v>3</v>
      </c>
      <c r="B62" s="5">
        <v>21.2</v>
      </c>
      <c r="C62" s="4">
        <v>21</v>
      </c>
      <c r="D62" s="9">
        <f t="shared" si="20"/>
        <v>0.99047619047619051</v>
      </c>
      <c r="E62" s="4">
        <v>0.15</v>
      </c>
      <c r="F62" s="4">
        <v>2.17</v>
      </c>
      <c r="G62" s="4">
        <v>0.71899999999999997</v>
      </c>
      <c r="I62" s="4">
        <v>3</v>
      </c>
      <c r="J62" s="4">
        <v>6.64</v>
      </c>
      <c r="K62" s="4">
        <v>21</v>
      </c>
      <c r="L62" s="9">
        <f t="shared" si="21"/>
        <v>0.31619047619047624</v>
      </c>
      <c r="M62" s="4">
        <v>14.36</v>
      </c>
      <c r="N62" s="4">
        <v>1.03</v>
      </c>
      <c r="O62" s="4">
        <v>6.9000000000000006E-2</v>
      </c>
      <c r="Q62" s="4">
        <v>3</v>
      </c>
      <c r="R62" s="4">
        <v>54.53</v>
      </c>
      <c r="S62" s="4">
        <v>21</v>
      </c>
      <c r="T62" s="9">
        <f t="shared" si="22"/>
        <v>-0.59666666666666668</v>
      </c>
      <c r="U62" s="4">
        <v>33.53</v>
      </c>
      <c r="V62" s="4">
        <v>1.44</v>
      </c>
      <c r="W62" s="4">
        <v>0.53900000000000003</v>
      </c>
      <c r="Y62" s="4">
        <v>3</v>
      </c>
      <c r="Z62" s="4">
        <v>4.57</v>
      </c>
      <c r="AA62" s="4">
        <v>21</v>
      </c>
      <c r="AB62" s="9">
        <f t="shared" si="23"/>
        <v>0.21761904761904763</v>
      </c>
      <c r="AC62" s="4">
        <v>16.43</v>
      </c>
      <c r="AD62" s="4">
        <v>1.0900000000000001</v>
      </c>
      <c r="AE62" s="4">
        <v>0.182</v>
      </c>
      <c r="AG62" s="4">
        <v>3</v>
      </c>
      <c r="AH62" s="4">
        <v>70.209999999999994</v>
      </c>
      <c r="AI62" s="4">
        <v>21</v>
      </c>
      <c r="AJ62" s="9">
        <f t="shared" si="24"/>
        <v>-1.343333333333333</v>
      </c>
      <c r="AK62" s="4">
        <v>49.21</v>
      </c>
      <c r="AL62" s="4">
        <v>2.02</v>
      </c>
      <c r="AM62" s="4">
        <v>0.71099999999999997</v>
      </c>
    </row>
    <row r="63" spans="1:39" x14ac:dyDescent="0.3">
      <c r="A63" s="4">
        <v>4</v>
      </c>
      <c r="B63" s="5">
        <v>20.6</v>
      </c>
      <c r="C63" s="4">
        <v>21</v>
      </c>
      <c r="D63" s="9">
        <f t="shared" si="20"/>
        <v>0.98095238095238102</v>
      </c>
      <c r="E63" s="4">
        <v>0.42</v>
      </c>
      <c r="F63" s="4">
        <v>2.2599999999999998</v>
      </c>
      <c r="G63" s="4">
        <v>0.69799999999999995</v>
      </c>
      <c r="I63" s="4">
        <v>4</v>
      </c>
      <c r="J63" s="4">
        <v>6.83</v>
      </c>
      <c r="K63" s="4">
        <v>21</v>
      </c>
      <c r="L63" s="9">
        <f t="shared" si="21"/>
        <v>0.32523809523809522</v>
      </c>
      <c r="M63" s="4">
        <v>14.17</v>
      </c>
      <c r="N63" s="4">
        <v>1.03</v>
      </c>
      <c r="O63" s="4">
        <v>7.4999999999999997E-2</v>
      </c>
      <c r="Q63" s="4">
        <v>4</v>
      </c>
      <c r="R63" s="4">
        <v>65.77</v>
      </c>
      <c r="S63" s="4">
        <v>20</v>
      </c>
      <c r="T63" s="9">
        <f t="shared" si="22"/>
        <v>-1.2884999999999998</v>
      </c>
      <c r="U63" s="4">
        <v>45.77</v>
      </c>
      <c r="V63" s="4">
        <v>1.4</v>
      </c>
      <c r="W63" s="4">
        <v>0.52600000000000002</v>
      </c>
      <c r="Y63" s="4">
        <v>4</v>
      </c>
      <c r="Z63" s="4">
        <v>5.72</v>
      </c>
      <c r="AA63" s="4">
        <v>21</v>
      </c>
      <c r="AB63" s="9">
        <f t="shared" si="23"/>
        <v>0.27238095238095233</v>
      </c>
      <c r="AC63" s="4">
        <v>15.28</v>
      </c>
      <c r="AD63" s="4">
        <v>1.1299999999999999</v>
      </c>
      <c r="AE63" s="4">
        <v>0.23799999999999999</v>
      </c>
      <c r="AG63" s="4">
        <v>4</v>
      </c>
      <c r="AH63" s="4">
        <v>66.3</v>
      </c>
      <c r="AI63" s="4">
        <v>20</v>
      </c>
      <c r="AJ63" s="9">
        <f t="shared" si="24"/>
        <v>-1.3149999999999999</v>
      </c>
      <c r="AK63" s="4">
        <v>46.3</v>
      </c>
      <c r="AL63" s="4">
        <v>3.15</v>
      </c>
      <c r="AM63" s="4">
        <v>1.0660000000000001</v>
      </c>
    </row>
    <row r="64" spans="1:39" x14ac:dyDescent="0.3">
      <c r="A64" s="4">
        <v>5</v>
      </c>
      <c r="B64" s="5">
        <v>17.7</v>
      </c>
      <c r="C64" s="4">
        <v>20</v>
      </c>
      <c r="D64" s="9">
        <f t="shared" si="20"/>
        <v>0.88500000000000001</v>
      </c>
      <c r="E64" s="4">
        <v>2.29</v>
      </c>
      <c r="F64" s="4">
        <v>2.25</v>
      </c>
      <c r="G64" s="4">
        <v>0.78800000000000003</v>
      </c>
      <c r="I64" s="4">
        <v>5</v>
      </c>
      <c r="J64" s="4">
        <v>5.84</v>
      </c>
      <c r="K64" s="4">
        <v>20</v>
      </c>
      <c r="L64" s="9">
        <f t="shared" si="21"/>
        <v>0.29199999999999998</v>
      </c>
      <c r="M64" s="4">
        <v>14.16</v>
      </c>
      <c r="N64" s="4">
        <v>1.07</v>
      </c>
      <c r="O64" s="4">
        <v>0.14899999999999999</v>
      </c>
      <c r="Q64" s="4">
        <v>5</v>
      </c>
      <c r="R64" s="4">
        <v>50.06</v>
      </c>
      <c r="S64" s="4">
        <v>20</v>
      </c>
      <c r="T64" s="9">
        <f t="shared" si="22"/>
        <v>-0.50300000000000011</v>
      </c>
      <c r="U64" s="4">
        <v>30.06</v>
      </c>
      <c r="V64" s="4">
        <v>1.66</v>
      </c>
      <c r="W64" s="4">
        <v>0.64700000000000002</v>
      </c>
      <c r="Y64" s="4">
        <v>5</v>
      </c>
      <c r="Z64" s="4">
        <v>5.72</v>
      </c>
      <c r="AA64" s="4">
        <v>20</v>
      </c>
      <c r="AB64" s="9">
        <f t="shared" si="23"/>
        <v>0.28599999999999992</v>
      </c>
      <c r="AC64" s="4">
        <v>14.28</v>
      </c>
      <c r="AD64" s="4">
        <v>1.06</v>
      </c>
      <c r="AE64" s="4">
        <v>0.13500000000000001</v>
      </c>
      <c r="AG64" s="4">
        <v>5</v>
      </c>
      <c r="AH64" s="4">
        <v>49.83</v>
      </c>
      <c r="AI64" s="4">
        <v>20</v>
      </c>
      <c r="AJ64" s="9">
        <f t="shared" si="24"/>
        <v>-0.49149999999999994</v>
      </c>
      <c r="AK64" s="4">
        <v>29.83</v>
      </c>
      <c r="AL64" s="4">
        <v>1.5</v>
      </c>
      <c r="AM64" s="4">
        <v>0.57499999999999996</v>
      </c>
    </row>
    <row r="65" spans="1:39" x14ac:dyDescent="0.3">
      <c r="A65" s="4">
        <v>6</v>
      </c>
      <c r="B65" s="5">
        <v>21.9</v>
      </c>
      <c r="C65" s="4">
        <v>21</v>
      </c>
      <c r="D65" s="9">
        <f t="shared" si="20"/>
        <v>0.95714285714285718</v>
      </c>
      <c r="E65" s="4">
        <v>0.87</v>
      </c>
      <c r="F65" s="4">
        <v>2.1800000000000002</v>
      </c>
      <c r="G65" s="4">
        <v>0.63900000000000001</v>
      </c>
      <c r="I65" s="4">
        <v>6</v>
      </c>
      <c r="J65" s="4">
        <v>6.13</v>
      </c>
      <c r="K65" s="4">
        <v>21</v>
      </c>
      <c r="L65" s="9">
        <f t="shared" si="21"/>
        <v>0.29190476190476183</v>
      </c>
      <c r="M65" s="4">
        <v>14.87</v>
      </c>
      <c r="N65" s="4">
        <v>1.04</v>
      </c>
      <c r="O65" s="4">
        <v>8.5000000000000006E-2</v>
      </c>
      <c r="Q65" s="4">
        <v>6</v>
      </c>
      <c r="R65" s="4">
        <v>50.73</v>
      </c>
      <c r="S65" s="4">
        <v>20</v>
      </c>
      <c r="T65" s="9">
        <f t="shared" si="22"/>
        <v>-0.53649999999999987</v>
      </c>
      <c r="U65" s="4">
        <v>30.73</v>
      </c>
      <c r="V65" s="4">
        <v>1.32</v>
      </c>
      <c r="W65" s="4">
        <v>0.47399999999999998</v>
      </c>
      <c r="Y65" s="4">
        <v>6</v>
      </c>
      <c r="Z65" s="4">
        <v>6.47</v>
      </c>
      <c r="AA65" s="4">
        <v>21</v>
      </c>
      <c r="AB65" s="9">
        <f t="shared" si="23"/>
        <v>0.30809523809523803</v>
      </c>
      <c r="AC65" s="4">
        <v>14.53</v>
      </c>
      <c r="AD65" s="4">
        <v>1.04</v>
      </c>
      <c r="AE65" s="4">
        <v>0.09</v>
      </c>
      <c r="AG65" s="4">
        <v>6</v>
      </c>
      <c r="AH65" s="4">
        <v>50.11</v>
      </c>
      <c r="AI65" s="4">
        <v>20</v>
      </c>
      <c r="AJ65" s="9">
        <f t="shared" si="24"/>
        <v>-0.50549999999999995</v>
      </c>
      <c r="AK65" s="4">
        <v>30.11</v>
      </c>
      <c r="AL65" s="4">
        <v>1.53</v>
      </c>
      <c r="AM65" s="4">
        <v>0.61899999999999999</v>
      </c>
    </row>
    <row r="66" spans="1:39" x14ac:dyDescent="0.3">
      <c r="A66" s="4">
        <v>7</v>
      </c>
      <c r="B66" s="5">
        <v>20.100000000000001</v>
      </c>
      <c r="C66" s="4">
        <v>19</v>
      </c>
      <c r="D66" s="9">
        <f t="shared" si="20"/>
        <v>0.94210526315789467</v>
      </c>
      <c r="E66" s="4">
        <v>1.0900000000000001</v>
      </c>
      <c r="F66" s="4">
        <v>2.16</v>
      </c>
      <c r="G66" s="4">
        <v>0.63600000000000001</v>
      </c>
      <c r="I66" s="4">
        <v>7</v>
      </c>
      <c r="J66" s="4">
        <v>6.69</v>
      </c>
      <c r="K66" s="4">
        <v>19</v>
      </c>
      <c r="L66" s="9">
        <f t="shared" si="21"/>
        <v>0.35210526315789481</v>
      </c>
      <c r="M66" s="4">
        <v>12.31</v>
      </c>
      <c r="N66" s="4">
        <v>1.04</v>
      </c>
      <c r="O66" s="4">
        <v>8.7999999999999995E-2</v>
      </c>
      <c r="Q66" s="4">
        <v>7</v>
      </c>
      <c r="R66" s="4">
        <v>63.13</v>
      </c>
      <c r="S66" s="4">
        <v>20</v>
      </c>
      <c r="T66" s="9">
        <f t="shared" si="22"/>
        <v>-1.1565000000000001</v>
      </c>
      <c r="U66" s="4">
        <v>43.13</v>
      </c>
      <c r="V66" s="4">
        <v>1.39</v>
      </c>
      <c r="W66" s="4">
        <v>0.52900000000000003</v>
      </c>
      <c r="Y66" s="4">
        <v>7</v>
      </c>
      <c r="Z66" s="4">
        <v>7.28</v>
      </c>
      <c r="AA66" s="4">
        <v>19</v>
      </c>
      <c r="AB66" s="9">
        <f t="shared" si="23"/>
        <v>0.38315789473684214</v>
      </c>
      <c r="AC66" s="4">
        <v>11.72</v>
      </c>
      <c r="AD66" s="4">
        <v>1.05</v>
      </c>
      <c r="AE66" s="4">
        <v>0.127</v>
      </c>
      <c r="AG66" s="4">
        <v>7</v>
      </c>
      <c r="AH66" s="4">
        <v>70.98</v>
      </c>
      <c r="AI66" s="4">
        <v>20</v>
      </c>
      <c r="AJ66" s="9">
        <f t="shared" si="24"/>
        <v>-1.5490000000000002</v>
      </c>
      <c r="AK66" s="4">
        <v>50.98</v>
      </c>
      <c r="AL66" s="4">
        <v>2.97</v>
      </c>
      <c r="AM66" s="4">
        <v>0.91</v>
      </c>
    </row>
    <row r="67" spans="1:39" x14ac:dyDescent="0.3">
      <c r="A67" s="4">
        <v>8</v>
      </c>
      <c r="B67" s="5">
        <v>20.7</v>
      </c>
      <c r="C67" s="4">
        <v>20</v>
      </c>
      <c r="D67" s="9">
        <f t="shared" si="20"/>
        <v>0.96500000000000008</v>
      </c>
      <c r="E67" s="4">
        <v>0.71</v>
      </c>
      <c r="F67" s="4">
        <v>2.27</v>
      </c>
      <c r="G67" s="4">
        <v>0.77500000000000002</v>
      </c>
      <c r="I67" s="4">
        <v>8</v>
      </c>
      <c r="J67" s="4">
        <v>6.99</v>
      </c>
      <c r="K67" s="4">
        <v>20</v>
      </c>
      <c r="L67" s="9">
        <f t="shared" si="21"/>
        <v>0.34950000000000003</v>
      </c>
      <c r="M67" s="4">
        <v>13.01</v>
      </c>
      <c r="N67" s="4">
        <v>1.05</v>
      </c>
      <c r="O67" s="4">
        <v>0.108</v>
      </c>
      <c r="Q67" s="4">
        <v>8</v>
      </c>
      <c r="R67" s="6">
        <v>45.6</v>
      </c>
      <c r="S67" s="4">
        <v>21</v>
      </c>
      <c r="T67" s="9">
        <f t="shared" si="22"/>
        <v>-0.17142857142857149</v>
      </c>
      <c r="U67" s="6">
        <v>24.6</v>
      </c>
      <c r="V67" s="4">
        <v>1.49</v>
      </c>
      <c r="W67" s="4">
        <v>0.55900000000000005</v>
      </c>
      <c r="Y67" s="4">
        <v>8</v>
      </c>
      <c r="Z67" s="4">
        <v>6.14</v>
      </c>
      <c r="AA67" s="4">
        <v>20</v>
      </c>
      <c r="AB67" s="9">
        <f t="shared" si="23"/>
        <v>0.30700000000000005</v>
      </c>
      <c r="AC67" s="4">
        <v>13.86</v>
      </c>
      <c r="AD67" s="4">
        <v>2.0499999999999998</v>
      </c>
      <c r="AE67" s="4">
        <v>0.39700000000000002</v>
      </c>
      <c r="AG67" s="4">
        <v>8</v>
      </c>
      <c r="AH67" s="6">
        <v>44.53</v>
      </c>
      <c r="AI67" s="4">
        <v>21</v>
      </c>
      <c r="AJ67" s="9">
        <f t="shared" si="24"/>
        <v>-0.12047619047619053</v>
      </c>
      <c r="AK67" s="6">
        <v>23.53</v>
      </c>
      <c r="AL67" s="4">
        <v>1.93</v>
      </c>
      <c r="AM67" s="4">
        <v>0.68700000000000006</v>
      </c>
    </row>
    <row r="68" spans="1:39" x14ac:dyDescent="0.3">
      <c r="A68" s="4">
        <v>9</v>
      </c>
      <c r="B68" s="5">
        <v>20.8</v>
      </c>
      <c r="C68" s="4">
        <v>20</v>
      </c>
      <c r="D68" s="9">
        <f t="shared" si="20"/>
        <v>0.96</v>
      </c>
      <c r="E68" s="4">
        <v>0.75</v>
      </c>
      <c r="F68" s="4">
        <v>2.16</v>
      </c>
      <c r="G68" s="4">
        <v>0.66900000000000004</v>
      </c>
      <c r="I68" s="4">
        <v>9</v>
      </c>
      <c r="J68" s="4">
        <v>7.73</v>
      </c>
      <c r="K68" s="4">
        <v>20</v>
      </c>
      <c r="L68" s="9">
        <f t="shared" si="21"/>
        <v>0.38650000000000001</v>
      </c>
      <c r="M68" s="4">
        <v>12.27</v>
      </c>
      <c r="N68" s="4">
        <v>1.03</v>
      </c>
      <c r="O68" s="4">
        <v>8.2000000000000003E-2</v>
      </c>
      <c r="Q68" s="4">
        <v>9</v>
      </c>
      <c r="R68" s="4">
        <v>76.58</v>
      </c>
      <c r="S68" s="4">
        <v>21</v>
      </c>
      <c r="T68" s="9">
        <f t="shared" si="22"/>
        <v>-1.6466666666666665</v>
      </c>
      <c r="U68" s="4">
        <v>55.58</v>
      </c>
      <c r="V68" s="4">
        <v>1.3</v>
      </c>
      <c r="W68" s="4">
        <v>0.45900000000000002</v>
      </c>
      <c r="Y68" s="4">
        <v>9</v>
      </c>
      <c r="Z68" s="4">
        <v>6.68</v>
      </c>
      <c r="AA68" s="4">
        <v>20</v>
      </c>
      <c r="AB68" s="9">
        <f t="shared" si="23"/>
        <v>0.33399999999999996</v>
      </c>
      <c r="AC68" s="4">
        <v>13.32</v>
      </c>
      <c r="AD68" s="4">
        <v>1.1200000000000001</v>
      </c>
      <c r="AE68" s="4">
        <v>0.23200000000000001</v>
      </c>
      <c r="AG68" s="4">
        <v>9</v>
      </c>
      <c r="AH68" s="4">
        <v>58.75</v>
      </c>
      <c r="AI68" s="4">
        <v>21</v>
      </c>
      <c r="AJ68" s="9">
        <f t="shared" si="24"/>
        <v>-0.79761904761904767</v>
      </c>
      <c r="AK68" s="4">
        <v>37.75</v>
      </c>
      <c r="AL68" s="4">
        <v>1.1200000000000001</v>
      </c>
      <c r="AM68" s="4">
        <v>0.23</v>
      </c>
    </row>
    <row r="69" spans="1:39" x14ac:dyDescent="0.3">
      <c r="A69" s="4">
        <v>10</v>
      </c>
      <c r="B69" s="5">
        <v>20.100000000000001</v>
      </c>
      <c r="C69" s="4">
        <v>20</v>
      </c>
      <c r="D69" s="9">
        <f t="shared" si="20"/>
        <v>0.99499999999999988</v>
      </c>
      <c r="E69" s="4">
        <v>0.06</v>
      </c>
      <c r="F69" s="4">
        <v>2.17</v>
      </c>
      <c r="G69" s="4">
        <v>0.63100000000000001</v>
      </c>
      <c r="I69" s="4">
        <v>10</v>
      </c>
      <c r="J69" s="6">
        <v>7.31</v>
      </c>
      <c r="K69" s="4">
        <v>20</v>
      </c>
      <c r="L69" s="9">
        <f t="shared" si="21"/>
        <v>0.36549999999999994</v>
      </c>
      <c r="M69" s="6">
        <v>12.69</v>
      </c>
      <c r="N69" s="4">
        <v>1.03</v>
      </c>
      <c r="O69" s="4">
        <v>7.1999999999999995E-2</v>
      </c>
      <c r="Q69" s="4">
        <v>10</v>
      </c>
      <c r="R69" s="6">
        <v>48.78</v>
      </c>
      <c r="S69" s="4">
        <v>20</v>
      </c>
      <c r="T69" s="9">
        <f t="shared" si="22"/>
        <v>-0.43900000000000006</v>
      </c>
      <c r="U69" s="6">
        <v>28.78</v>
      </c>
      <c r="V69" s="4">
        <v>1.56</v>
      </c>
      <c r="W69" s="4">
        <v>0.61199999999999999</v>
      </c>
      <c r="Y69" s="4">
        <v>10</v>
      </c>
      <c r="Z69" s="6">
        <v>8.48</v>
      </c>
      <c r="AA69" s="4">
        <v>20</v>
      </c>
      <c r="AB69" s="9">
        <f t="shared" si="23"/>
        <v>0.42400000000000004</v>
      </c>
      <c r="AC69" s="6">
        <v>11.52</v>
      </c>
      <c r="AD69" s="4">
        <v>1.02</v>
      </c>
      <c r="AE69" s="4">
        <v>5.0999999999999997E-2</v>
      </c>
      <c r="AG69" s="4">
        <v>10</v>
      </c>
      <c r="AH69" s="6">
        <v>38.07</v>
      </c>
      <c r="AI69" s="4">
        <v>20</v>
      </c>
      <c r="AJ69" s="9">
        <f t="shared" si="24"/>
        <v>9.6499999999999989E-2</v>
      </c>
      <c r="AK69" s="6">
        <v>18.07</v>
      </c>
      <c r="AL69" s="4">
        <v>1.22</v>
      </c>
      <c r="AM69" s="4">
        <v>0.36199999999999999</v>
      </c>
    </row>
    <row r="70" spans="1:39" x14ac:dyDescent="0.3">
      <c r="A70" s="7"/>
      <c r="B70" s="7"/>
      <c r="C70" s="7"/>
      <c r="D70" s="10" t="str">
        <f>TEXT(AVERAGE(D60:D69),"0.0%")&amp; "±" &amp;TEXT(_xlfn.STDEV.S(D60:D69),"0.0%")</f>
        <v>95.0%±4.8%</v>
      </c>
      <c r="E70" s="10">
        <f>AVERAGE(E60:E69)</f>
        <v>1.0150000000000001</v>
      </c>
      <c r="F70" s="10">
        <f>AVERAGE(F60:F69)</f>
        <v>2.2079999999999997</v>
      </c>
      <c r="G70" s="10">
        <f>AVERAGE(G60:G69)</f>
        <v>0.70700000000000007</v>
      </c>
      <c r="L70" s="10" t="str">
        <f>TEXT(AVERAGE(L60:L69),"0.0%")&amp; "±" &amp;TEXT(_xlfn.STDEV.S(L60:L69),"0.0%")</f>
        <v>32.8%±3.4%</v>
      </c>
      <c r="M70" s="10">
        <f>AVERAGE(M60:M69)</f>
        <v>13.723000000000003</v>
      </c>
      <c r="N70" s="10">
        <f>AVERAGE(N60:N69)</f>
        <v>1.0429999999999999</v>
      </c>
      <c r="O70" s="10">
        <f>AVERAGE(O60:O69)</f>
        <v>9.6499999999999989E-2</v>
      </c>
      <c r="T70" s="10" t="str">
        <f>TEXT(AVERAGE(T60:T69),"0.0%")&amp; "±" &amp;TEXT(_xlfn.STDEV.S(T60:T69),"0.0%")</f>
        <v>-84.0%±51.3%</v>
      </c>
      <c r="U70" s="10">
        <f>AVERAGE(U60:U69)</f>
        <v>37.435000000000002</v>
      </c>
      <c r="V70" s="10">
        <f>AVERAGE(V60:V69)</f>
        <v>1.4500000000000002</v>
      </c>
      <c r="W70" s="10">
        <f>AVERAGE(W60:W69)</f>
        <v>0.54370000000000007</v>
      </c>
      <c r="AB70" s="10" t="str">
        <f>TEXT(AVERAGE(AB60:AB69),"0.0%")&amp; "±" &amp;TEXT(_xlfn.STDEV.S(AB60:AB69),"0.0%")</f>
        <v>31.2%±6.3%</v>
      </c>
      <c r="AC70" s="10">
        <f>AVERAGE(AC60:AC69)</f>
        <v>14.044</v>
      </c>
      <c r="AD70" s="10">
        <f>AVERAGE(AD60:AD69)</f>
        <v>1.1620000000000001</v>
      </c>
      <c r="AE70" s="10">
        <f>AVERAGE(AE60:AE69)</f>
        <v>0.15899999999999997</v>
      </c>
      <c r="AJ70" s="10" t="str">
        <f>TEXT(AVERAGE(AJ60:AJ69),"0.0%")&amp; "±" &amp;TEXT(_xlfn.STDEV.S(AJ60:AJ69),"0.0%")</f>
        <v>-85.1%±66.3%</v>
      </c>
      <c r="AK70" s="10">
        <f>AVERAGE(AK60:AK69)</f>
        <v>37.684999999999995</v>
      </c>
      <c r="AL70" s="10">
        <f>AVERAGE(AL60:AL69)</f>
        <v>1.784</v>
      </c>
      <c r="AM70" s="10">
        <f>AVERAGE(AM60:AM69)</f>
        <v>0.57850000000000013</v>
      </c>
    </row>
    <row r="72" spans="1:39" x14ac:dyDescent="0.3">
      <c r="A72" s="13" t="s">
        <v>11</v>
      </c>
      <c r="B72" s="13"/>
      <c r="C72" s="13"/>
      <c r="D72" s="13"/>
      <c r="E72" s="13"/>
      <c r="F72" s="13"/>
      <c r="G72" s="13"/>
      <c r="I72" s="12" t="s">
        <v>22</v>
      </c>
      <c r="J72" s="12"/>
      <c r="K72" s="12"/>
      <c r="L72" s="12"/>
      <c r="M72" s="12"/>
      <c r="N72" s="12"/>
      <c r="O72" s="12"/>
      <c r="Q72" s="12" t="s">
        <v>23</v>
      </c>
      <c r="R72" s="12"/>
      <c r="S72" s="12"/>
      <c r="T72" s="12"/>
      <c r="U72" s="12"/>
      <c r="V72" s="12"/>
      <c r="W72" s="12"/>
      <c r="Y72" s="11" t="s">
        <v>22</v>
      </c>
      <c r="Z72" s="11"/>
      <c r="AA72" s="11"/>
      <c r="AB72" s="11"/>
      <c r="AC72" s="11"/>
      <c r="AD72" s="11"/>
      <c r="AE72" s="11"/>
      <c r="AG72" s="11" t="s">
        <v>23</v>
      </c>
      <c r="AH72" s="11"/>
      <c r="AI72" s="11"/>
      <c r="AJ72" s="11"/>
      <c r="AK72" s="11"/>
      <c r="AL72" s="11"/>
      <c r="AM72" s="11"/>
    </row>
    <row r="73" spans="1:39" x14ac:dyDescent="0.3">
      <c r="A73" s="3" t="s">
        <v>0</v>
      </c>
      <c r="B73" s="3" t="s">
        <v>1</v>
      </c>
      <c r="C73" s="3" t="s">
        <v>2</v>
      </c>
      <c r="D73" s="3" t="s">
        <v>26</v>
      </c>
      <c r="E73" s="3" t="s">
        <v>3</v>
      </c>
      <c r="F73" s="3" t="s">
        <v>4</v>
      </c>
      <c r="G73" s="3" t="s">
        <v>5</v>
      </c>
      <c r="I73" s="3" t="s">
        <v>0</v>
      </c>
      <c r="J73" s="3" t="s">
        <v>1</v>
      </c>
      <c r="K73" s="3" t="s">
        <v>2</v>
      </c>
      <c r="L73" s="3" t="s">
        <v>26</v>
      </c>
      <c r="M73" s="3" t="s">
        <v>3</v>
      </c>
      <c r="N73" s="3" t="s">
        <v>4</v>
      </c>
      <c r="O73" s="3" t="s">
        <v>5</v>
      </c>
      <c r="Q73" s="3" t="s">
        <v>0</v>
      </c>
      <c r="R73" s="3" t="s">
        <v>1</v>
      </c>
      <c r="S73" s="3" t="s">
        <v>2</v>
      </c>
      <c r="T73" s="3" t="s">
        <v>26</v>
      </c>
      <c r="U73" s="3" t="s">
        <v>3</v>
      </c>
      <c r="V73" s="3" t="s">
        <v>4</v>
      </c>
      <c r="W73" s="3" t="s">
        <v>5</v>
      </c>
      <c r="Y73" s="3" t="s">
        <v>0</v>
      </c>
      <c r="Z73" s="3" t="s">
        <v>1</v>
      </c>
      <c r="AA73" s="3" t="s">
        <v>2</v>
      </c>
      <c r="AB73" s="3" t="s">
        <v>26</v>
      </c>
      <c r="AC73" s="3" t="s">
        <v>3</v>
      </c>
      <c r="AD73" s="3" t="s">
        <v>4</v>
      </c>
      <c r="AE73" s="3" t="s">
        <v>5</v>
      </c>
      <c r="AG73" s="3" t="s">
        <v>0</v>
      </c>
      <c r="AH73" s="3" t="s">
        <v>1</v>
      </c>
      <c r="AI73" s="3" t="s">
        <v>2</v>
      </c>
      <c r="AJ73" s="3" t="s">
        <v>26</v>
      </c>
      <c r="AK73" s="3" t="s">
        <v>3</v>
      </c>
      <c r="AL73" s="3" t="s">
        <v>4</v>
      </c>
      <c r="AM73" s="3" t="s">
        <v>5</v>
      </c>
    </row>
    <row r="74" spans="1:39" x14ac:dyDescent="0.3">
      <c r="A74" s="4">
        <v>1</v>
      </c>
      <c r="B74" s="5">
        <v>166.7</v>
      </c>
      <c r="C74" s="5">
        <v>165</v>
      </c>
      <c r="D74" s="9">
        <f>(C74-ABS(C74-B74))/C74</f>
        <v>0.98969696969696974</v>
      </c>
      <c r="E74" s="4">
        <v>1.66</v>
      </c>
      <c r="F74" s="4">
        <v>1.22</v>
      </c>
      <c r="G74" s="4">
        <v>0.21199999999999999</v>
      </c>
      <c r="I74" s="4">
        <v>1</v>
      </c>
      <c r="J74" s="4">
        <v>6.63</v>
      </c>
      <c r="K74" s="4">
        <v>20</v>
      </c>
      <c r="L74" s="9">
        <f>(K74-ABS(K74-J74))/K74</f>
        <v>0.33149999999999996</v>
      </c>
      <c r="M74" s="4">
        <v>13.37</v>
      </c>
      <c r="N74" s="4">
        <v>1.02</v>
      </c>
      <c r="O74" s="4">
        <v>5.1999999999999998E-2</v>
      </c>
      <c r="Q74" s="4">
        <v>1</v>
      </c>
      <c r="R74" s="4">
        <v>59.54</v>
      </c>
      <c r="S74" s="4">
        <v>20</v>
      </c>
      <c r="T74" s="9">
        <f>(S74-ABS(S74-R74))/S74</f>
        <v>-0.97699999999999998</v>
      </c>
      <c r="U74" s="4">
        <v>39.54</v>
      </c>
      <c r="V74" s="4">
        <v>1.69</v>
      </c>
      <c r="W74" s="4">
        <v>0.498</v>
      </c>
      <c r="Y74" s="4">
        <v>1</v>
      </c>
      <c r="Z74" s="4">
        <v>7.13</v>
      </c>
      <c r="AA74" s="4">
        <v>20</v>
      </c>
      <c r="AB74" s="9">
        <f>(AA74-ABS(AA74-Z74))/AA74</f>
        <v>0.35649999999999993</v>
      </c>
      <c r="AC74" s="4">
        <v>12.87</v>
      </c>
      <c r="AD74" s="4">
        <v>1.01</v>
      </c>
      <c r="AE74" s="4">
        <v>2.3E-2</v>
      </c>
      <c r="AG74" s="4">
        <v>1</v>
      </c>
      <c r="AH74" s="4">
        <v>60.44</v>
      </c>
      <c r="AI74" s="4">
        <v>20</v>
      </c>
      <c r="AJ74" s="9">
        <f>(AI74-ABS(AI74-AH74))/AI74</f>
        <v>-1.0219999999999998</v>
      </c>
      <c r="AK74" s="4">
        <v>40.44</v>
      </c>
      <c r="AL74" s="4">
        <v>1.34</v>
      </c>
      <c r="AM74" s="4">
        <v>0.41099999999999998</v>
      </c>
    </row>
    <row r="75" spans="1:39" x14ac:dyDescent="0.3">
      <c r="A75" s="4">
        <v>2</v>
      </c>
      <c r="B75" s="5">
        <v>173</v>
      </c>
      <c r="C75" s="5">
        <v>158</v>
      </c>
      <c r="D75" s="9">
        <f t="shared" ref="D75:D83" si="25">(C75-ABS(C75-B75))/C75</f>
        <v>0.90506329113924056</v>
      </c>
      <c r="E75" s="4">
        <v>15</v>
      </c>
      <c r="F75" s="4">
        <v>1.19</v>
      </c>
      <c r="G75" s="4">
        <v>0.20899999999999999</v>
      </c>
      <c r="I75" s="4">
        <v>2</v>
      </c>
      <c r="J75" s="4">
        <v>6.62</v>
      </c>
      <c r="K75" s="4">
        <v>22</v>
      </c>
      <c r="L75" s="9">
        <f t="shared" ref="L75:L83" si="26">(K75-ABS(K75-J75))/K75</f>
        <v>0.30090909090909096</v>
      </c>
      <c r="M75" s="4">
        <v>15.38</v>
      </c>
      <c r="N75" s="4">
        <v>1.01</v>
      </c>
      <c r="O75" s="4">
        <v>1.9E-2</v>
      </c>
      <c r="Q75" s="4">
        <v>2</v>
      </c>
      <c r="R75" s="4">
        <v>58.77</v>
      </c>
      <c r="S75" s="4">
        <v>20</v>
      </c>
      <c r="T75" s="9">
        <f t="shared" ref="T75:T83" si="27">(S75-ABS(S75-R75))/S75</f>
        <v>-0.93850000000000011</v>
      </c>
      <c r="U75" s="4">
        <v>38.770000000000003</v>
      </c>
      <c r="V75" s="4">
        <v>1.89</v>
      </c>
      <c r="W75" s="4">
        <v>0.55700000000000005</v>
      </c>
      <c r="Y75" s="4">
        <v>2</v>
      </c>
      <c r="Z75" s="4">
        <v>7.77</v>
      </c>
      <c r="AA75" s="4">
        <v>22</v>
      </c>
      <c r="AB75" s="9">
        <f t="shared" ref="AB75:AB83" si="28">(AA75-ABS(AA75-Z75))/AA75</f>
        <v>0.35318181818181815</v>
      </c>
      <c r="AC75" s="4">
        <v>14.23</v>
      </c>
      <c r="AD75" s="4">
        <v>1.01</v>
      </c>
      <c r="AE75" s="4">
        <v>1.4E-2</v>
      </c>
      <c r="AG75" s="4">
        <v>2</v>
      </c>
      <c r="AH75" s="4">
        <v>89.83</v>
      </c>
      <c r="AI75" s="4">
        <v>20</v>
      </c>
      <c r="AJ75" s="9">
        <f t="shared" ref="AJ75:AJ83" si="29">(AI75-ABS(AI75-AH75))/AI75</f>
        <v>-2.4914999999999998</v>
      </c>
      <c r="AK75" s="4">
        <v>69.83</v>
      </c>
      <c r="AL75" s="4">
        <v>1.1299999999999999</v>
      </c>
      <c r="AM75" s="4">
        <v>0.247</v>
      </c>
    </row>
    <row r="76" spans="1:39" x14ac:dyDescent="0.3">
      <c r="A76" s="4">
        <v>3</v>
      </c>
      <c r="B76" s="5">
        <v>165</v>
      </c>
      <c r="C76" s="5">
        <v>174</v>
      </c>
      <c r="D76" s="9">
        <f t="shared" si="25"/>
        <v>0.94827586206896552</v>
      </c>
      <c r="E76" s="4">
        <v>9</v>
      </c>
      <c r="F76" s="4">
        <v>1.23</v>
      </c>
      <c r="G76" s="4">
        <v>0.13600000000000001</v>
      </c>
      <c r="I76" s="4">
        <v>3</v>
      </c>
      <c r="J76" s="4">
        <v>6.63</v>
      </c>
      <c r="K76" s="4">
        <v>21</v>
      </c>
      <c r="L76" s="9">
        <f t="shared" si="26"/>
        <v>0.31571428571428567</v>
      </c>
      <c r="M76" s="4">
        <v>14.37</v>
      </c>
      <c r="N76" s="4">
        <v>1.01</v>
      </c>
      <c r="O76" s="4">
        <v>2.1000000000000001E-2</v>
      </c>
      <c r="Q76" s="4">
        <v>3</v>
      </c>
      <c r="R76" s="4">
        <v>63.26</v>
      </c>
      <c r="S76" s="4">
        <v>20</v>
      </c>
      <c r="T76" s="9">
        <f t="shared" si="27"/>
        <v>-1.1629999999999998</v>
      </c>
      <c r="U76" s="4">
        <v>43.26</v>
      </c>
      <c r="V76" s="4">
        <v>1.74</v>
      </c>
      <c r="W76" s="4">
        <v>0.52</v>
      </c>
      <c r="Y76" s="4">
        <v>3</v>
      </c>
      <c r="Z76" s="4">
        <v>8.58</v>
      </c>
      <c r="AA76" s="4">
        <v>21</v>
      </c>
      <c r="AB76" s="9">
        <f t="shared" si="28"/>
        <v>0.40857142857142859</v>
      </c>
      <c r="AC76" s="4">
        <v>12.42</v>
      </c>
      <c r="AD76" s="4">
        <v>1.99</v>
      </c>
      <c r="AE76" s="4">
        <v>0.251</v>
      </c>
      <c r="AG76" s="4">
        <v>3</v>
      </c>
      <c r="AH76" s="4">
        <v>62.45</v>
      </c>
      <c r="AI76" s="4">
        <v>20</v>
      </c>
      <c r="AJ76" s="9">
        <f t="shared" si="29"/>
        <v>-1.1225000000000001</v>
      </c>
      <c r="AK76" s="4">
        <v>42.45</v>
      </c>
      <c r="AL76" s="4">
        <v>2.4300000000000002</v>
      </c>
      <c r="AM76" s="4">
        <v>0.62</v>
      </c>
    </row>
    <row r="77" spans="1:39" x14ac:dyDescent="0.3">
      <c r="A77" s="4">
        <v>4</v>
      </c>
      <c r="B77" s="5">
        <v>171</v>
      </c>
      <c r="C77" s="5">
        <v>163</v>
      </c>
      <c r="D77" s="9">
        <f t="shared" si="25"/>
        <v>0.95092024539877296</v>
      </c>
      <c r="E77" s="4">
        <v>8.0500000000000007</v>
      </c>
      <c r="F77" s="4">
        <v>1.3</v>
      </c>
      <c r="G77" s="4">
        <v>0.19900000000000001</v>
      </c>
      <c r="I77" s="4">
        <v>4</v>
      </c>
      <c r="J77" s="4">
        <v>6.62</v>
      </c>
      <c r="K77" s="4">
        <v>21</v>
      </c>
      <c r="L77" s="9">
        <f t="shared" si="26"/>
        <v>0.31523809523809526</v>
      </c>
      <c r="M77" s="4">
        <v>14.38</v>
      </c>
      <c r="N77" s="4">
        <v>1.01</v>
      </c>
      <c r="O77" s="4">
        <v>1.9E-2</v>
      </c>
      <c r="Q77" s="4">
        <v>4</v>
      </c>
      <c r="R77" s="4">
        <v>62.42</v>
      </c>
      <c r="S77" s="4">
        <v>20</v>
      </c>
      <c r="T77" s="9">
        <f t="shared" si="27"/>
        <v>-1.121</v>
      </c>
      <c r="U77" s="4">
        <v>42.42</v>
      </c>
      <c r="V77" s="4">
        <v>1.69</v>
      </c>
      <c r="W77" s="4">
        <v>0.54600000000000004</v>
      </c>
      <c r="Y77" s="4">
        <v>4</v>
      </c>
      <c r="Z77" s="4">
        <v>7.53</v>
      </c>
      <c r="AA77" s="4">
        <v>21</v>
      </c>
      <c r="AB77" s="9">
        <f t="shared" si="28"/>
        <v>0.35857142857142865</v>
      </c>
      <c r="AC77" s="4">
        <v>13.47</v>
      </c>
      <c r="AD77" s="4">
        <v>1.08</v>
      </c>
      <c r="AE77" s="4">
        <v>0.127</v>
      </c>
      <c r="AG77" s="4">
        <v>4</v>
      </c>
      <c r="AH77" s="4">
        <v>49.93</v>
      </c>
      <c r="AI77" s="4">
        <v>20</v>
      </c>
      <c r="AJ77" s="9">
        <f t="shared" si="29"/>
        <v>-0.4965</v>
      </c>
      <c r="AK77" s="4">
        <v>49.93</v>
      </c>
      <c r="AL77" s="4">
        <v>3.32</v>
      </c>
      <c r="AM77" s="4">
        <v>1.0780000000000001</v>
      </c>
    </row>
    <row r="78" spans="1:39" x14ac:dyDescent="0.3">
      <c r="A78" s="4">
        <v>5</v>
      </c>
      <c r="B78" s="5">
        <v>152.6</v>
      </c>
      <c r="C78" s="5">
        <v>157</v>
      </c>
      <c r="D78" s="9">
        <f t="shared" si="25"/>
        <v>0.97197452229299364</v>
      </c>
      <c r="E78" s="4">
        <v>4.3600000000000003</v>
      </c>
      <c r="F78" s="4">
        <v>1.35</v>
      </c>
      <c r="G78" s="4">
        <v>0.182</v>
      </c>
      <c r="I78" s="4">
        <v>5</v>
      </c>
      <c r="J78" s="4">
        <v>6.13</v>
      </c>
      <c r="K78" s="4">
        <v>20</v>
      </c>
      <c r="L78" s="9">
        <f t="shared" si="26"/>
        <v>0.30649999999999994</v>
      </c>
      <c r="M78" s="4">
        <v>13.87</v>
      </c>
      <c r="N78" s="4">
        <v>1.04</v>
      </c>
      <c r="O78" s="4">
        <v>8.7999999999999995E-2</v>
      </c>
      <c r="Q78" s="4">
        <v>5</v>
      </c>
      <c r="R78" s="4">
        <v>56.7</v>
      </c>
      <c r="S78" s="4">
        <v>20</v>
      </c>
      <c r="T78" s="9">
        <f t="shared" si="27"/>
        <v>-0.83500000000000019</v>
      </c>
      <c r="U78" s="4">
        <v>36.700000000000003</v>
      </c>
      <c r="V78" s="4">
        <v>1.59</v>
      </c>
      <c r="W78" s="4">
        <v>0.54100000000000004</v>
      </c>
      <c r="Y78" s="4">
        <v>5</v>
      </c>
      <c r="Z78" s="4">
        <v>8</v>
      </c>
      <c r="AA78" s="4">
        <v>20</v>
      </c>
      <c r="AB78" s="9">
        <f t="shared" si="28"/>
        <v>0.4</v>
      </c>
      <c r="AC78" s="4">
        <v>12</v>
      </c>
      <c r="AD78" s="4">
        <v>1.02</v>
      </c>
      <c r="AE78" s="4">
        <v>6.7000000000000004E-2</v>
      </c>
      <c r="AG78" s="4">
        <v>5</v>
      </c>
      <c r="AH78" s="4">
        <v>49.87</v>
      </c>
      <c r="AI78" s="4">
        <v>20</v>
      </c>
      <c r="AJ78" s="9">
        <f t="shared" si="29"/>
        <v>-0.49349999999999988</v>
      </c>
      <c r="AK78" s="4">
        <v>29.87</v>
      </c>
      <c r="AL78" s="4">
        <v>1.48</v>
      </c>
      <c r="AM78" s="4">
        <v>0.55500000000000005</v>
      </c>
    </row>
    <row r="79" spans="1:39" x14ac:dyDescent="0.3">
      <c r="A79" s="4">
        <v>6</v>
      </c>
      <c r="B79" s="5">
        <v>164.8</v>
      </c>
      <c r="C79" s="5">
        <v>172</v>
      </c>
      <c r="D79" s="9">
        <f t="shared" si="25"/>
        <v>0.95813953488372094</v>
      </c>
      <c r="E79" s="4">
        <v>7.18</v>
      </c>
      <c r="F79" s="4">
        <v>1.43</v>
      </c>
      <c r="G79" s="4">
        <v>0.32100000000000001</v>
      </c>
      <c r="I79" s="4">
        <v>6</v>
      </c>
      <c r="J79" s="4">
        <v>7.02</v>
      </c>
      <c r="K79" s="4">
        <v>21</v>
      </c>
      <c r="L79" s="9">
        <f t="shared" si="26"/>
        <v>0.33428571428571424</v>
      </c>
      <c r="M79" s="4">
        <v>13.98</v>
      </c>
      <c r="N79" s="4">
        <v>1.01</v>
      </c>
      <c r="O79" s="4">
        <v>1.6E-2</v>
      </c>
      <c r="Q79" s="4">
        <v>6</v>
      </c>
      <c r="R79" s="4">
        <v>45.74</v>
      </c>
      <c r="S79" s="4">
        <v>20</v>
      </c>
      <c r="T79" s="9">
        <f t="shared" si="27"/>
        <v>-0.28700000000000009</v>
      </c>
      <c r="U79" s="4">
        <v>25.74</v>
      </c>
      <c r="V79" s="4">
        <v>1.6</v>
      </c>
      <c r="W79" s="4">
        <v>0.51500000000000001</v>
      </c>
      <c r="Y79" s="4">
        <v>6</v>
      </c>
      <c r="Z79" s="4">
        <v>6.23</v>
      </c>
      <c r="AA79" s="4">
        <v>21</v>
      </c>
      <c r="AB79" s="9">
        <f t="shared" si="28"/>
        <v>0.29666666666666669</v>
      </c>
      <c r="AC79" s="4">
        <v>14.77</v>
      </c>
      <c r="AD79" s="4">
        <v>1.05</v>
      </c>
      <c r="AE79" s="4">
        <v>0.10100000000000001</v>
      </c>
      <c r="AG79" s="4">
        <v>6</v>
      </c>
      <c r="AH79" s="4">
        <v>43.87</v>
      </c>
      <c r="AI79" s="4">
        <v>20</v>
      </c>
      <c r="AJ79" s="9">
        <f t="shared" si="29"/>
        <v>-0.19349999999999987</v>
      </c>
      <c r="AK79" s="4">
        <v>23.87</v>
      </c>
      <c r="AL79" s="4">
        <v>1.52</v>
      </c>
      <c r="AM79" s="4">
        <v>0.63</v>
      </c>
    </row>
    <row r="80" spans="1:39" x14ac:dyDescent="0.3">
      <c r="A80" s="4">
        <v>7</v>
      </c>
      <c r="B80" s="5">
        <v>165.7</v>
      </c>
      <c r="C80" s="5">
        <v>149</v>
      </c>
      <c r="D80" s="9">
        <f t="shared" si="25"/>
        <v>0.88791946308724845</v>
      </c>
      <c r="E80" s="4">
        <v>16.73</v>
      </c>
      <c r="F80" s="4">
        <v>1.3</v>
      </c>
      <c r="G80" s="4">
        <v>0.17699999999999999</v>
      </c>
      <c r="I80" s="4">
        <v>7</v>
      </c>
      <c r="J80" s="4">
        <v>6.43</v>
      </c>
      <c r="K80" s="4">
        <v>19</v>
      </c>
      <c r="L80" s="9">
        <f t="shared" si="26"/>
        <v>0.33842105263157896</v>
      </c>
      <c r="M80" s="4">
        <v>12.57</v>
      </c>
      <c r="N80" s="4">
        <v>1.01</v>
      </c>
      <c r="O80" s="4">
        <v>2.9000000000000001E-2</v>
      </c>
      <c r="Q80" s="4">
        <v>7</v>
      </c>
      <c r="R80" s="4">
        <v>47.45</v>
      </c>
      <c r="S80" s="4">
        <v>20</v>
      </c>
      <c r="T80" s="9">
        <f t="shared" si="27"/>
        <v>-0.37250000000000016</v>
      </c>
      <c r="U80" s="4">
        <v>27.45</v>
      </c>
      <c r="V80" s="4">
        <v>1.68</v>
      </c>
      <c r="W80" s="4">
        <v>0.53900000000000003</v>
      </c>
      <c r="Y80" s="4">
        <v>7</v>
      </c>
      <c r="Z80" s="4">
        <v>6.07</v>
      </c>
      <c r="AA80" s="4">
        <v>19</v>
      </c>
      <c r="AB80" s="9">
        <f t="shared" si="28"/>
        <v>0.31947368421052635</v>
      </c>
      <c r="AC80" s="4">
        <v>12.93</v>
      </c>
      <c r="AD80" s="4">
        <v>1.08</v>
      </c>
      <c r="AE80" s="4">
        <v>0.14699999999999999</v>
      </c>
      <c r="AG80" s="4">
        <v>7</v>
      </c>
      <c r="AH80" s="4">
        <v>56.95</v>
      </c>
      <c r="AI80" s="4">
        <v>20</v>
      </c>
      <c r="AJ80" s="9">
        <f t="shared" si="29"/>
        <v>-0.84750000000000014</v>
      </c>
      <c r="AK80" s="4">
        <v>36.950000000000003</v>
      </c>
      <c r="AL80" s="4">
        <v>3.11</v>
      </c>
      <c r="AM80" s="4">
        <v>0.82199999999999995</v>
      </c>
    </row>
    <row r="81" spans="1:39" x14ac:dyDescent="0.3">
      <c r="A81" s="4">
        <v>8</v>
      </c>
      <c r="B81" s="5">
        <v>155.80000000000001</v>
      </c>
      <c r="C81" s="5">
        <v>166</v>
      </c>
      <c r="D81" s="9">
        <f t="shared" si="25"/>
        <v>0.93855421686746998</v>
      </c>
      <c r="E81" s="4">
        <v>10.23</v>
      </c>
      <c r="F81" s="4">
        <v>1.24</v>
      </c>
      <c r="G81" s="4">
        <v>0.251</v>
      </c>
      <c r="I81" s="4">
        <v>8</v>
      </c>
      <c r="J81" s="4">
        <v>6.96</v>
      </c>
      <c r="K81" s="4">
        <v>20</v>
      </c>
      <c r="L81" s="9">
        <f t="shared" si="26"/>
        <v>0.34800000000000003</v>
      </c>
      <c r="M81" s="4">
        <v>13.04</v>
      </c>
      <c r="N81" s="4">
        <v>1.01</v>
      </c>
      <c r="O81" s="4">
        <v>1.7000000000000001E-2</v>
      </c>
      <c r="Q81" s="4">
        <v>8</v>
      </c>
      <c r="R81" s="4">
        <v>57.81</v>
      </c>
      <c r="S81" s="4">
        <v>19</v>
      </c>
      <c r="T81" s="9">
        <f t="shared" si="27"/>
        <v>-1.0426315789473686</v>
      </c>
      <c r="U81" s="4">
        <v>38.81</v>
      </c>
      <c r="V81" s="4">
        <v>1.6</v>
      </c>
      <c r="W81" s="4">
        <v>0.52700000000000002</v>
      </c>
      <c r="Y81" s="4">
        <v>8</v>
      </c>
      <c r="Z81" s="4">
        <v>6.01</v>
      </c>
      <c r="AA81" s="4">
        <v>20</v>
      </c>
      <c r="AB81" s="9">
        <f t="shared" si="28"/>
        <v>0.30049999999999999</v>
      </c>
      <c r="AC81" s="4">
        <v>13.99</v>
      </c>
      <c r="AD81" s="4">
        <v>1.02</v>
      </c>
      <c r="AE81" s="4">
        <v>0.04</v>
      </c>
      <c r="AG81" s="4">
        <v>8</v>
      </c>
      <c r="AH81" s="4">
        <v>70.14</v>
      </c>
      <c r="AI81" s="4">
        <v>19</v>
      </c>
      <c r="AJ81" s="9">
        <f t="shared" si="29"/>
        <v>-1.6915789473684211</v>
      </c>
      <c r="AK81" s="4">
        <v>51.14</v>
      </c>
      <c r="AL81" s="4">
        <v>2.39</v>
      </c>
      <c r="AM81" s="4">
        <v>0.76100000000000001</v>
      </c>
    </row>
    <row r="82" spans="1:39" x14ac:dyDescent="0.3">
      <c r="A82" s="4">
        <v>9</v>
      </c>
      <c r="B82" s="5">
        <v>167.7</v>
      </c>
      <c r="C82" s="5">
        <v>174</v>
      </c>
      <c r="D82" s="9">
        <f t="shared" si="25"/>
        <v>0.96379310344827585</v>
      </c>
      <c r="E82" s="4">
        <v>6.34</v>
      </c>
      <c r="F82" s="4">
        <v>1.34</v>
      </c>
      <c r="G82" s="4">
        <v>0.215</v>
      </c>
      <c r="I82" s="4">
        <v>9</v>
      </c>
      <c r="J82" s="4">
        <v>6.89</v>
      </c>
      <c r="K82" s="4">
        <v>20</v>
      </c>
      <c r="L82" s="9">
        <f t="shared" si="26"/>
        <v>0.34450000000000003</v>
      </c>
      <c r="M82" s="4">
        <v>13.11</v>
      </c>
      <c r="N82" s="4">
        <v>1.01</v>
      </c>
      <c r="O82" s="4">
        <v>3.5000000000000003E-2</v>
      </c>
      <c r="Q82" s="4">
        <v>9</v>
      </c>
      <c r="R82" s="4">
        <v>53.41</v>
      </c>
      <c r="S82" s="4">
        <v>19</v>
      </c>
      <c r="T82" s="9">
        <f t="shared" si="27"/>
        <v>-0.81105263157894714</v>
      </c>
      <c r="U82" s="4">
        <v>34.409999999999997</v>
      </c>
      <c r="V82" s="4">
        <v>1.65</v>
      </c>
      <c r="W82" s="4">
        <v>0.52300000000000002</v>
      </c>
      <c r="Y82" s="4">
        <v>9</v>
      </c>
      <c r="Z82" s="4">
        <v>6.7</v>
      </c>
      <c r="AA82" s="4">
        <v>20</v>
      </c>
      <c r="AB82" s="9">
        <f t="shared" si="28"/>
        <v>0.33499999999999996</v>
      </c>
      <c r="AC82" s="4">
        <v>13.3</v>
      </c>
      <c r="AD82" s="4">
        <v>1.03</v>
      </c>
      <c r="AE82" s="4">
        <v>7.9000000000000001E-2</v>
      </c>
      <c r="AG82" s="4">
        <v>9</v>
      </c>
      <c r="AH82" s="4">
        <v>60.49</v>
      </c>
      <c r="AI82" s="4">
        <v>19</v>
      </c>
      <c r="AJ82" s="9">
        <f t="shared" si="29"/>
        <v>-1.1836842105263159</v>
      </c>
      <c r="AK82" s="4">
        <v>41.49</v>
      </c>
      <c r="AL82" s="4">
        <v>1.1599999999999999</v>
      </c>
      <c r="AM82" s="4">
        <v>0.28599999999999998</v>
      </c>
    </row>
    <row r="83" spans="1:39" x14ac:dyDescent="0.3">
      <c r="A83" s="4">
        <v>10</v>
      </c>
      <c r="B83" s="5">
        <v>161.19999999999999</v>
      </c>
      <c r="C83" s="5">
        <v>172</v>
      </c>
      <c r="D83" s="9">
        <f t="shared" si="25"/>
        <v>0.93720930232558131</v>
      </c>
      <c r="E83" s="4">
        <v>10.77</v>
      </c>
      <c r="F83" s="4">
        <v>1.34</v>
      </c>
      <c r="G83" s="4">
        <v>0.22500000000000001</v>
      </c>
      <c r="I83" s="4">
        <v>10</v>
      </c>
      <c r="J83" s="6">
        <v>6.63</v>
      </c>
      <c r="K83" s="4">
        <v>20</v>
      </c>
      <c r="L83" s="9">
        <f t="shared" si="26"/>
        <v>0.33149999999999996</v>
      </c>
      <c r="M83" s="6">
        <v>13.37</v>
      </c>
      <c r="N83" s="4">
        <v>1.01</v>
      </c>
      <c r="O83" s="4">
        <v>2.1999999999999999E-2</v>
      </c>
      <c r="Q83" s="4">
        <v>10</v>
      </c>
      <c r="R83" s="6">
        <v>47.75</v>
      </c>
      <c r="S83" s="4">
        <v>20</v>
      </c>
      <c r="T83" s="9">
        <f t="shared" si="27"/>
        <v>-0.38750000000000001</v>
      </c>
      <c r="U83" s="6">
        <v>27.75</v>
      </c>
      <c r="V83" s="4">
        <v>1.66</v>
      </c>
      <c r="W83" s="4">
        <v>0.56699999999999995</v>
      </c>
      <c r="Y83" s="4">
        <v>10</v>
      </c>
      <c r="Z83" s="6">
        <v>7.6</v>
      </c>
      <c r="AA83" s="4">
        <v>20</v>
      </c>
      <c r="AB83" s="9">
        <f t="shared" si="28"/>
        <v>0.38</v>
      </c>
      <c r="AC83" s="6">
        <v>12.4</v>
      </c>
      <c r="AD83" s="4">
        <v>1.06</v>
      </c>
      <c r="AE83" s="4">
        <v>0.13700000000000001</v>
      </c>
      <c r="AG83" s="4">
        <v>10</v>
      </c>
      <c r="AH83" s="6">
        <v>42.46</v>
      </c>
      <c r="AI83" s="4">
        <v>20</v>
      </c>
      <c r="AJ83" s="9">
        <f t="shared" si="29"/>
        <v>-0.12300000000000004</v>
      </c>
      <c r="AK83" s="6">
        <v>22.46</v>
      </c>
      <c r="AL83" s="4">
        <v>1.21</v>
      </c>
      <c r="AM83" s="4">
        <v>0.33</v>
      </c>
    </row>
    <row r="84" spans="1:39" x14ac:dyDescent="0.3">
      <c r="A84" s="7"/>
      <c r="B84" s="7"/>
      <c r="C84" s="7"/>
      <c r="D84" s="10" t="str">
        <f>TEXT(AVERAGE(D74:D83),"0.0%")&amp; "±" &amp;TEXT(_xlfn.STDEV.S(D74:D83),"0.0%")</f>
        <v>94.5%±3.0%</v>
      </c>
      <c r="E84" s="10">
        <f>AVERAGE(E74:E83)</f>
        <v>8.9320000000000004</v>
      </c>
      <c r="F84" s="10">
        <f>AVERAGE(F74:F83)</f>
        <v>1.294</v>
      </c>
      <c r="G84" s="10">
        <f>AVERAGE(G74:G83)</f>
        <v>0.21269999999999997</v>
      </c>
      <c r="L84" s="10" t="str">
        <f>TEXT(AVERAGE(L74:L83),"0.0%")&amp; "±" &amp;TEXT(_xlfn.STDEV.S(L74:L83),"0.0%")</f>
        <v>32.7%±1.6%</v>
      </c>
      <c r="M84" s="10">
        <f>AVERAGE(M74:M83)</f>
        <v>13.744</v>
      </c>
      <c r="N84" s="10">
        <f>AVERAGE(N74:N83)</f>
        <v>1.0139999999999998</v>
      </c>
      <c r="O84" s="10">
        <f>AVERAGE(O74:O83)</f>
        <v>3.1800000000000009E-2</v>
      </c>
      <c r="T84" s="10" t="str">
        <f>TEXT(AVERAGE(T74:T83),"0.0%")&amp; "±" &amp;TEXT(_xlfn.STDEV.S(T74:T83),"0.0%")</f>
        <v>-79.4%±32.7%</v>
      </c>
      <c r="U84" s="10">
        <f>AVERAGE(U74:U83)</f>
        <v>35.484999999999999</v>
      </c>
      <c r="V84" s="10">
        <f>AVERAGE(V74:V83)</f>
        <v>1.6789999999999998</v>
      </c>
      <c r="W84" s="10">
        <f>AVERAGE(W74:W83)</f>
        <v>0.5333</v>
      </c>
      <c r="AB84" s="10" t="str">
        <f>TEXT(AVERAGE(AB74:AB83),"0.0%")&amp; "±" &amp;TEXT(_xlfn.STDEV.S(AB74:AB83),"0.0%")</f>
        <v>35.1%±3.9%</v>
      </c>
      <c r="AC84" s="10">
        <f>AVERAGE(AC74:AC83)</f>
        <v>13.238</v>
      </c>
      <c r="AD84" s="10">
        <f>AVERAGE(AD74:AD83)</f>
        <v>1.1349999999999998</v>
      </c>
      <c r="AE84" s="10">
        <f>AVERAGE(AE74:AE83)</f>
        <v>9.8599999999999993E-2</v>
      </c>
      <c r="AJ84" s="10" t="str">
        <f>TEXT(AVERAGE(AJ74:AJ83),"0.0%")&amp; "±" &amp;TEXT(_xlfn.STDEV.S(AJ74:AJ83),"0.0%")</f>
        <v>-96.7%±72.2%</v>
      </c>
      <c r="AK84" s="10">
        <f>AVERAGE(AK74:AK83)</f>
        <v>40.842999999999996</v>
      </c>
      <c r="AL84" s="10">
        <f>AVERAGE(AL74:AL83)</f>
        <v>1.909</v>
      </c>
      <c r="AM84" s="10">
        <f>AVERAGE(AM74:AM83)</f>
        <v>0.57399999999999995</v>
      </c>
    </row>
    <row r="85" spans="1:39" x14ac:dyDescent="0.3">
      <c r="M85" s="7"/>
      <c r="N85" s="7"/>
      <c r="O85" s="7"/>
      <c r="U85" s="7"/>
      <c r="V85" s="7"/>
      <c r="W85" s="7"/>
    </row>
    <row r="86" spans="1:39" x14ac:dyDescent="0.3">
      <c r="A86" s="13" t="s">
        <v>27</v>
      </c>
      <c r="B86" s="13"/>
      <c r="C86" s="13"/>
      <c r="D86" s="13"/>
      <c r="E86" s="13"/>
      <c r="F86" s="13"/>
      <c r="G86" s="13"/>
      <c r="I86" s="12" t="s">
        <v>24</v>
      </c>
      <c r="J86" s="12"/>
      <c r="K86" s="12"/>
      <c r="L86" s="12"/>
      <c r="M86" s="12"/>
      <c r="N86" s="12"/>
      <c r="O86" s="12"/>
      <c r="Q86" s="12" t="s">
        <v>25</v>
      </c>
      <c r="R86" s="12"/>
      <c r="S86" s="12"/>
      <c r="T86" s="12"/>
      <c r="U86" s="12"/>
      <c r="V86" s="12"/>
      <c r="W86" s="12"/>
    </row>
    <row r="87" spans="1:39" x14ac:dyDescent="0.3">
      <c r="A87" s="3" t="s">
        <v>0</v>
      </c>
      <c r="B87" s="3" t="s">
        <v>1</v>
      </c>
      <c r="C87" s="3" t="s">
        <v>2</v>
      </c>
      <c r="D87" s="3" t="s">
        <v>26</v>
      </c>
      <c r="E87" s="3" t="s">
        <v>3</v>
      </c>
      <c r="F87" s="3" t="s">
        <v>4</v>
      </c>
      <c r="G87" s="3" t="s">
        <v>5</v>
      </c>
      <c r="I87" s="3" t="s">
        <v>0</v>
      </c>
      <c r="J87" s="3" t="s">
        <v>1</v>
      </c>
      <c r="K87" s="3" t="s">
        <v>2</v>
      </c>
      <c r="L87" s="3" t="s">
        <v>26</v>
      </c>
      <c r="M87" s="3" t="s">
        <v>3</v>
      </c>
      <c r="N87" s="3" t="s">
        <v>4</v>
      </c>
      <c r="O87" s="3" t="s">
        <v>5</v>
      </c>
      <c r="Q87" s="3" t="s">
        <v>0</v>
      </c>
      <c r="R87" s="3" t="s">
        <v>1</v>
      </c>
      <c r="S87" s="3" t="s">
        <v>2</v>
      </c>
      <c r="T87" s="3" t="s">
        <v>26</v>
      </c>
      <c r="U87" s="3" t="s">
        <v>3</v>
      </c>
      <c r="V87" s="3" t="s">
        <v>4</v>
      </c>
      <c r="W87" s="3" t="s">
        <v>5</v>
      </c>
    </row>
    <row r="88" spans="1:39" x14ac:dyDescent="0.3">
      <c r="A88" s="4">
        <v>1</v>
      </c>
      <c r="B88" s="5">
        <v>149.4</v>
      </c>
      <c r="C88" s="5">
        <v>157</v>
      </c>
      <c r="D88" s="9">
        <f>(C88-ABS(C88-B88))/C88</f>
        <v>0.9515923566878981</v>
      </c>
      <c r="E88" s="4">
        <v>7.57</v>
      </c>
      <c r="F88" s="4">
        <v>1.26</v>
      </c>
      <c r="G88" s="4">
        <v>0.20599999999999999</v>
      </c>
      <c r="I88" s="4">
        <v>1</v>
      </c>
      <c r="J88" s="4">
        <v>95.63</v>
      </c>
      <c r="K88" s="4">
        <v>165</v>
      </c>
      <c r="L88" s="9">
        <f>(K88-ABS(K88-J88))/K88</f>
        <v>0.57957575757575752</v>
      </c>
      <c r="M88" s="4">
        <v>69.37</v>
      </c>
      <c r="N88" s="4">
        <v>1.44</v>
      </c>
      <c r="O88" s="4">
        <v>0.32300000000000001</v>
      </c>
      <c r="Q88" s="4">
        <v>1</v>
      </c>
      <c r="R88" s="4">
        <v>147.54</v>
      </c>
      <c r="S88" s="4">
        <v>113</v>
      </c>
      <c r="T88" s="9">
        <f>(S88-ABS(S88-R88))/S88</f>
        <v>0.69433628318584073</v>
      </c>
      <c r="U88" s="4">
        <v>34.54</v>
      </c>
      <c r="V88" s="4">
        <v>1.22</v>
      </c>
      <c r="W88" s="4">
        <v>0.16600000000000001</v>
      </c>
    </row>
    <row r="89" spans="1:39" x14ac:dyDescent="0.3">
      <c r="A89" s="4">
        <v>2</v>
      </c>
      <c r="B89" s="5">
        <v>168.8</v>
      </c>
      <c r="C89" s="5">
        <v>161</v>
      </c>
      <c r="D89" s="9">
        <f t="shared" ref="D89:D97" si="30">(C89-ABS(C89-B89))/C89</f>
        <v>0.95155279503105583</v>
      </c>
      <c r="E89" s="4">
        <v>7.81</v>
      </c>
      <c r="F89" s="4">
        <v>1.21</v>
      </c>
      <c r="G89" s="4">
        <v>0.19900000000000001</v>
      </c>
      <c r="I89" s="4">
        <v>2</v>
      </c>
      <c r="J89" s="4">
        <v>96.38</v>
      </c>
      <c r="K89" s="4">
        <v>158</v>
      </c>
      <c r="L89" s="9">
        <f t="shared" ref="L89:L97" si="31">(K89-ABS(K89-J89))/K89</f>
        <v>0.61</v>
      </c>
      <c r="M89" s="4">
        <v>61.62</v>
      </c>
      <c r="N89" s="4">
        <v>1.31</v>
      </c>
      <c r="O89" s="4">
        <v>0.33600000000000002</v>
      </c>
      <c r="Q89" s="4">
        <v>2</v>
      </c>
      <c r="R89" s="4">
        <v>138.52000000000001</v>
      </c>
      <c r="S89" s="4">
        <v>99</v>
      </c>
      <c r="T89" s="9">
        <f t="shared" ref="T89:T97" si="32">(S89-ABS(S89-R89))/S89</f>
        <v>0.60080808080808068</v>
      </c>
      <c r="U89" s="4">
        <v>39.520000000000003</v>
      </c>
      <c r="V89" s="4">
        <v>1.22</v>
      </c>
      <c r="W89" s="4">
        <v>0.18099999999999999</v>
      </c>
    </row>
    <row r="90" spans="1:39" x14ac:dyDescent="0.3">
      <c r="A90" s="4">
        <v>3</v>
      </c>
      <c r="B90" s="5">
        <v>160</v>
      </c>
      <c r="C90" s="5">
        <v>154</v>
      </c>
      <c r="D90" s="9">
        <f t="shared" si="30"/>
        <v>0.96103896103896103</v>
      </c>
      <c r="E90" s="4">
        <v>6.02</v>
      </c>
      <c r="F90" s="4">
        <v>1.28</v>
      </c>
      <c r="G90" s="4">
        <v>0.20599999999999999</v>
      </c>
      <c r="I90" s="4">
        <v>3</v>
      </c>
      <c r="J90" s="4">
        <v>94.42</v>
      </c>
      <c r="K90" s="4">
        <v>174</v>
      </c>
      <c r="L90" s="9">
        <f t="shared" si="31"/>
        <v>0.54264367816091952</v>
      </c>
      <c r="M90" s="4">
        <v>79.58</v>
      </c>
      <c r="N90" s="4">
        <v>1.44</v>
      </c>
      <c r="O90" s="4">
        <v>0.377</v>
      </c>
      <c r="Q90" s="4">
        <v>3</v>
      </c>
      <c r="R90" s="4">
        <v>146.18</v>
      </c>
      <c r="S90" s="4">
        <v>104</v>
      </c>
      <c r="T90" s="9">
        <f t="shared" si="32"/>
        <v>0.59442307692307683</v>
      </c>
      <c r="U90" s="4">
        <v>42.18</v>
      </c>
      <c r="V90" s="4">
        <v>1.23</v>
      </c>
      <c r="W90" s="4">
        <v>0.19700000000000001</v>
      </c>
    </row>
    <row r="91" spans="1:39" x14ac:dyDescent="0.3">
      <c r="A91" s="4">
        <v>4</v>
      </c>
      <c r="B91" s="5">
        <v>153.4</v>
      </c>
      <c r="C91" s="5">
        <v>154</v>
      </c>
      <c r="D91" s="9">
        <f t="shared" si="30"/>
        <v>0.99610389610389616</v>
      </c>
      <c r="E91" s="4">
        <v>0.57999999999999996</v>
      </c>
      <c r="F91" s="4">
        <v>1.28</v>
      </c>
      <c r="G91" s="4">
        <v>0.19</v>
      </c>
      <c r="I91" s="4">
        <v>4</v>
      </c>
      <c r="J91" s="4">
        <v>90.96</v>
      </c>
      <c r="K91" s="4">
        <v>163</v>
      </c>
      <c r="L91" s="9">
        <f t="shared" si="31"/>
        <v>0.55803680981595083</v>
      </c>
      <c r="M91" s="4">
        <v>72.040000000000006</v>
      </c>
      <c r="N91" s="4">
        <v>1.55</v>
      </c>
      <c r="O91" s="4">
        <v>0.38</v>
      </c>
      <c r="Q91" s="4">
        <v>4</v>
      </c>
      <c r="R91" s="4">
        <v>146.94999999999999</v>
      </c>
      <c r="S91" s="4">
        <v>112</v>
      </c>
      <c r="T91" s="9">
        <f t="shared" si="32"/>
        <v>0.68794642857142863</v>
      </c>
      <c r="U91" s="4">
        <v>34.950000000000003</v>
      </c>
      <c r="V91" s="4">
        <v>1.25</v>
      </c>
      <c r="W91" s="4">
        <v>0.17699999999999999</v>
      </c>
    </row>
    <row r="92" spans="1:39" x14ac:dyDescent="0.3">
      <c r="A92" s="4">
        <v>5</v>
      </c>
      <c r="B92" s="5">
        <v>148.6</v>
      </c>
      <c r="C92" s="5">
        <v>160</v>
      </c>
      <c r="D92" s="9">
        <f t="shared" si="30"/>
        <v>0.92874999999999996</v>
      </c>
      <c r="E92" s="4">
        <v>11.43</v>
      </c>
      <c r="F92" s="4">
        <v>1.41</v>
      </c>
      <c r="G92" s="4">
        <v>0.247</v>
      </c>
      <c r="I92" s="4">
        <v>5</v>
      </c>
      <c r="J92" s="4">
        <v>91.05</v>
      </c>
      <c r="K92" s="4">
        <v>157</v>
      </c>
      <c r="L92" s="9">
        <f t="shared" si="31"/>
        <v>0.579936305732484</v>
      </c>
      <c r="M92" s="4">
        <v>65.95</v>
      </c>
      <c r="N92" s="4">
        <v>1.54</v>
      </c>
      <c r="O92" s="4">
        <v>0.32900000000000001</v>
      </c>
      <c r="Q92" s="4">
        <v>5</v>
      </c>
      <c r="R92" s="4">
        <v>146.88</v>
      </c>
      <c r="S92" s="4">
        <v>109</v>
      </c>
      <c r="T92" s="9">
        <f t="shared" si="32"/>
        <v>0.65247706422018348</v>
      </c>
      <c r="U92" s="4">
        <v>37.880000000000003</v>
      </c>
      <c r="V92" s="4">
        <v>1.28</v>
      </c>
      <c r="W92" s="4">
        <v>0.23100000000000001</v>
      </c>
    </row>
    <row r="93" spans="1:39" x14ac:dyDescent="0.3">
      <c r="A93" s="4">
        <v>6</v>
      </c>
      <c r="B93" s="5">
        <v>168.9</v>
      </c>
      <c r="C93" s="5">
        <v>156</v>
      </c>
      <c r="D93" s="9">
        <f t="shared" si="30"/>
        <v>0.91730769230769227</v>
      </c>
      <c r="E93" s="4">
        <v>12.94</v>
      </c>
      <c r="F93" s="4">
        <v>1.31</v>
      </c>
      <c r="G93" s="4">
        <v>0.23300000000000001</v>
      </c>
      <c r="I93" s="4">
        <v>6</v>
      </c>
      <c r="J93" s="4">
        <v>85.69</v>
      </c>
      <c r="K93" s="4">
        <v>172</v>
      </c>
      <c r="L93" s="9">
        <f t="shared" si="31"/>
        <v>0.49819767441860463</v>
      </c>
      <c r="M93" s="4">
        <v>86.31</v>
      </c>
      <c r="N93" s="4">
        <v>1.62</v>
      </c>
      <c r="O93" s="4">
        <v>0.432</v>
      </c>
      <c r="Q93" s="4">
        <v>6</v>
      </c>
      <c r="R93" s="4">
        <v>125</v>
      </c>
      <c r="S93" s="4">
        <v>111</v>
      </c>
      <c r="T93" s="9">
        <f t="shared" si="32"/>
        <v>0.87387387387387383</v>
      </c>
      <c r="U93" s="4">
        <v>14</v>
      </c>
      <c r="V93" s="4">
        <v>1.44</v>
      </c>
      <c r="W93" s="4">
        <v>0.26900000000000002</v>
      </c>
    </row>
    <row r="94" spans="1:39" x14ac:dyDescent="0.3">
      <c r="A94" s="4">
        <v>7</v>
      </c>
      <c r="B94" s="5">
        <v>158.69999999999999</v>
      </c>
      <c r="C94" s="5">
        <v>153</v>
      </c>
      <c r="D94" s="9">
        <f t="shared" si="30"/>
        <v>0.96274509803921571</v>
      </c>
      <c r="E94" s="4">
        <v>5.67</v>
      </c>
      <c r="F94" s="4">
        <v>1.24</v>
      </c>
      <c r="G94" s="4">
        <v>0.189</v>
      </c>
      <c r="I94" s="4">
        <v>7</v>
      </c>
      <c r="J94" s="4">
        <v>101.22</v>
      </c>
      <c r="K94" s="4">
        <v>149</v>
      </c>
      <c r="L94" s="9">
        <f t="shared" si="31"/>
        <v>0.67932885906040263</v>
      </c>
      <c r="M94" s="4">
        <v>47.78</v>
      </c>
      <c r="N94" s="4">
        <v>1.48</v>
      </c>
      <c r="O94" s="4">
        <v>0.29199999999999998</v>
      </c>
      <c r="Q94" s="4">
        <v>7</v>
      </c>
      <c r="R94" s="4">
        <v>139.46</v>
      </c>
      <c r="S94" s="4">
        <v>106</v>
      </c>
      <c r="T94" s="9">
        <f t="shared" si="32"/>
        <v>0.68433962264150938</v>
      </c>
      <c r="U94" s="4">
        <v>33.46</v>
      </c>
      <c r="V94" s="4">
        <v>1.29</v>
      </c>
      <c r="W94" s="4">
        <v>0.20799999999999999</v>
      </c>
    </row>
    <row r="95" spans="1:39" x14ac:dyDescent="0.3">
      <c r="A95" s="4">
        <v>8</v>
      </c>
      <c r="B95" s="5">
        <v>162.4</v>
      </c>
      <c r="C95" s="5">
        <v>160</v>
      </c>
      <c r="D95" s="9">
        <f t="shared" si="30"/>
        <v>0.98499999999999999</v>
      </c>
      <c r="E95" s="4">
        <v>2.41</v>
      </c>
      <c r="F95" s="4">
        <v>1.24</v>
      </c>
      <c r="G95" s="4">
        <v>0.22800000000000001</v>
      </c>
      <c r="I95" s="4">
        <v>8</v>
      </c>
      <c r="J95" s="4">
        <v>96.68</v>
      </c>
      <c r="K95" s="4">
        <v>166</v>
      </c>
      <c r="L95" s="9">
        <f t="shared" si="31"/>
        <v>0.5824096385542169</v>
      </c>
      <c r="M95" s="4">
        <v>69.319999999999993</v>
      </c>
      <c r="N95" s="4">
        <v>1.41</v>
      </c>
      <c r="O95" s="4">
        <v>0.35699999999999998</v>
      </c>
      <c r="Q95" s="4">
        <v>8</v>
      </c>
      <c r="R95" s="4">
        <v>145.15</v>
      </c>
      <c r="S95" s="4">
        <v>95</v>
      </c>
      <c r="T95" s="9">
        <f t="shared" si="32"/>
        <v>0.47210526315789469</v>
      </c>
      <c r="U95" s="4">
        <v>50.15</v>
      </c>
      <c r="V95" s="4">
        <v>1.24</v>
      </c>
      <c r="W95" s="4">
        <v>0.20899999999999999</v>
      </c>
    </row>
    <row r="96" spans="1:39" x14ac:dyDescent="0.3">
      <c r="A96" s="4">
        <v>9</v>
      </c>
      <c r="B96" s="5">
        <v>156.6</v>
      </c>
      <c r="C96" s="5">
        <v>166</v>
      </c>
      <c r="D96" s="9">
        <f t="shared" si="30"/>
        <v>0.94337349397590353</v>
      </c>
      <c r="E96" s="4">
        <v>9.41</v>
      </c>
      <c r="F96" s="4">
        <v>1.29</v>
      </c>
      <c r="G96" s="4">
        <v>0.20399999999999999</v>
      </c>
      <c r="I96" s="4">
        <v>9</v>
      </c>
      <c r="J96" s="4">
        <v>88.01</v>
      </c>
      <c r="K96" s="4">
        <v>174</v>
      </c>
      <c r="L96" s="9">
        <f t="shared" si="31"/>
        <v>0.50580459770114949</v>
      </c>
      <c r="M96" s="4">
        <v>85.99</v>
      </c>
      <c r="N96" s="4">
        <v>1.57</v>
      </c>
      <c r="O96" s="4">
        <v>0.40600000000000003</v>
      </c>
      <c r="Q96" s="4">
        <v>9</v>
      </c>
      <c r="R96" s="4">
        <v>132.07</v>
      </c>
      <c r="S96" s="4">
        <v>111</v>
      </c>
      <c r="T96" s="9">
        <f t="shared" si="32"/>
        <v>0.81018018018018023</v>
      </c>
      <c r="U96" s="4">
        <v>21.07</v>
      </c>
      <c r="V96" s="4">
        <v>1.33</v>
      </c>
      <c r="W96" s="4">
        <v>0.23499999999999999</v>
      </c>
    </row>
    <row r="97" spans="1:23" x14ac:dyDescent="0.3">
      <c r="A97" s="4">
        <v>10</v>
      </c>
      <c r="B97" s="5">
        <v>163.4</v>
      </c>
      <c r="C97" s="5">
        <v>156</v>
      </c>
      <c r="D97" s="9">
        <f t="shared" si="30"/>
        <v>0.95256410256410251</v>
      </c>
      <c r="E97" s="4">
        <v>7.38</v>
      </c>
      <c r="F97" s="4">
        <v>1.24</v>
      </c>
      <c r="G97" s="4">
        <v>0.21</v>
      </c>
      <c r="I97" s="4">
        <v>10</v>
      </c>
      <c r="J97" s="6">
        <v>88.32</v>
      </c>
      <c r="K97" s="4">
        <v>172</v>
      </c>
      <c r="L97" s="9">
        <f t="shared" si="31"/>
        <v>0.51348837209302323</v>
      </c>
      <c r="M97" s="6">
        <v>83.68</v>
      </c>
      <c r="N97" s="4">
        <v>1.5</v>
      </c>
      <c r="O97" s="4">
        <v>0.38500000000000001</v>
      </c>
      <c r="Q97" s="4">
        <v>10</v>
      </c>
      <c r="R97" s="6">
        <v>141.16999999999999</v>
      </c>
      <c r="S97" s="4">
        <v>102</v>
      </c>
      <c r="T97" s="9">
        <f t="shared" si="32"/>
        <v>0.61598039215686284</v>
      </c>
      <c r="U97" s="6">
        <v>39.17</v>
      </c>
      <c r="V97" s="4">
        <v>1.19</v>
      </c>
      <c r="W97" s="4">
        <v>0.19900000000000001</v>
      </c>
    </row>
    <row r="98" spans="1:23" x14ac:dyDescent="0.3">
      <c r="A98" s="7"/>
      <c r="B98" s="7"/>
      <c r="C98" s="7"/>
      <c r="D98" s="10" t="str">
        <f>TEXT(AVERAGE(D88:D97),"0.0%")&amp; "±" &amp;TEXT(_xlfn.STDEV.S(D88:D97),"0.0%")</f>
        <v>95.5%±2.3%</v>
      </c>
      <c r="E98" s="10">
        <f>AVERAGE(E88:E97)</f>
        <v>7.1219999999999981</v>
      </c>
      <c r="F98" s="10">
        <f>AVERAGE(F88:F97)</f>
        <v>1.276</v>
      </c>
      <c r="G98" s="10">
        <f>AVERAGE(G88:G97)</f>
        <v>0.2112</v>
      </c>
      <c r="L98" s="10" t="str">
        <f>TEXT(AVERAGE(L88:L97),"0.0%")&amp; "±" &amp;TEXT(_xlfn.STDEV.S(L88:L97),"0.0%")</f>
        <v>56.5%±5.5%</v>
      </c>
      <c r="M98" s="10">
        <f>AVERAGE(M88:M97)</f>
        <v>72.164000000000016</v>
      </c>
      <c r="N98" s="10">
        <f>AVERAGE(N88:N97)</f>
        <v>1.486</v>
      </c>
      <c r="O98" s="10">
        <f>AVERAGE(O88:O97)</f>
        <v>0.36170000000000002</v>
      </c>
      <c r="T98" s="10" t="str">
        <f>TEXT(AVERAGE(T88:T97),"0.0%")&amp; "±" &amp;TEXT(_xlfn.STDEV.S(T88:T97),"0.0%")</f>
        <v>66.9%±11.3%</v>
      </c>
      <c r="U98" s="10">
        <f>AVERAGE(U88:U97)</f>
        <v>34.692</v>
      </c>
      <c r="V98" s="10">
        <f>AVERAGE(V88:V97)</f>
        <v>1.2689999999999999</v>
      </c>
      <c r="W98" s="10">
        <f>AVERAGE(W88:W97)</f>
        <v>0.2072</v>
      </c>
    </row>
    <row r="100" spans="1:23" x14ac:dyDescent="0.3">
      <c r="I100" s="12" t="s">
        <v>28</v>
      </c>
      <c r="J100" s="12"/>
      <c r="K100" s="12"/>
      <c r="L100" s="12"/>
      <c r="M100" s="12"/>
      <c r="N100" s="12"/>
      <c r="O100" s="12"/>
      <c r="Q100" s="12" t="s">
        <v>29</v>
      </c>
      <c r="R100" s="12"/>
      <c r="S100" s="12"/>
      <c r="T100" s="12"/>
      <c r="U100" s="12"/>
      <c r="V100" s="12"/>
      <c r="W100" s="12"/>
    </row>
    <row r="101" spans="1:23" x14ac:dyDescent="0.3">
      <c r="I101" s="3" t="s">
        <v>0</v>
      </c>
      <c r="J101" s="3" t="s">
        <v>1</v>
      </c>
      <c r="K101" s="3" t="s">
        <v>2</v>
      </c>
      <c r="L101" s="3" t="s">
        <v>26</v>
      </c>
      <c r="M101" s="3" t="s">
        <v>3</v>
      </c>
      <c r="N101" s="3" t="s">
        <v>4</v>
      </c>
      <c r="O101" s="3" t="s">
        <v>5</v>
      </c>
      <c r="Q101" s="3" t="s">
        <v>0</v>
      </c>
      <c r="R101" s="3" t="s">
        <v>1</v>
      </c>
      <c r="S101" s="3" t="s">
        <v>2</v>
      </c>
      <c r="T101" s="3" t="s">
        <v>26</v>
      </c>
      <c r="U101" s="3" t="s">
        <v>3</v>
      </c>
      <c r="V101" s="3" t="s">
        <v>4</v>
      </c>
      <c r="W101" s="3" t="s">
        <v>5</v>
      </c>
    </row>
    <row r="102" spans="1:23" x14ac:dyDescent="0.3">
      <c r="I102" s="4">
        <v>1</v>
      </c>
      <c r="J102" s="4">
        <v>160.99</v>
      </c>
      <c r="K102" s="4">
        <v>165</v>
      </c>
      <c r="L102" s="9">
        <f>(K102-ABS(K102-J102))/K102</f>
        <v>0.97569696969696973</v>
      </c>
      <c r="M102" s="4">
        <v>4.01</v>
      </c>
      <c r="N102" s="4">
        <v>1.53</v>
      </c>
      <c r="O102" s="4">
        <v>0.22700000000000001</v>
      </c>
      <c r="Q102" s="4">
        <v>1</v>
      </c>
      <c r="R102" s="4">
        <v>155.81</v>
      </c>
      <c r="S102" s="5">
        <v>157</v>
      </c>
      <c r="T102" s="9">
        <f>(S102-ABS(S102-R102))/S102</f>
        <v>0.99242038216560513</v>
      </c>
      <c r="U102" s="4">
        <v>1.19</v>
      </c>
      <c r="V102" s="4">
        <v>1.37</v>
      </c>
      <c r="W102" s="4">
        <v>0.23699999999999999</v>
      </c>
    </row>
    <row r="103" spans="1:23" x14ac:dyDescent="0.3">
      <c r="I103" s="4">
        <v>2</v>
      </c>
      <c r="J103" s="4">
        <v>157.86000000000001</v>
      </c>
      <c r="K103" s="4">
        <v>158</v>
      </c>
      <c r="L103" s="9">
        <f t="shared" ref="L103:L111" si="33">(K103-ABS(K103-J103))/K103</f>
        <v>0.99911392405063304</v>
      </c>
      <c r="M103" s="4">
        <v>0.14000000000000001</v>
      </c>
      <c r="N103" s="4">
        <v>1.51</v>
      </c>
      <c r="O103" s="4">
        <v>0.28000000000000003</v>
      </c>
      <c r="Q103" s="4">
        <v>2</v>
      </c>
      <c r="R103" s="4">
        <v>164.3</v>
      </c>
      <c r="S103" s="5">
        <v>161</v>
      </c>
      <c r="T103" s="9">
        <f t="shared" ref="T103:T111" si="34">(S103-ABS(S103-R103))/S103</f>
        <v>0.97950310559006204</v>
      </c>
      <c r="U103" s="4">
        <v>3.3</v>
      </c>
      <c r="V103" s="4">
        <v>1.31</v>
      </c>
      <c r="W103" s="4">
        <v>0.25900000000000001</v>
      </c>
    </row>
    <row r="104" spans="1:23" x14ac:dyDescent="0.3">
      <c r="I104" s="4">
        <v>3</v>
      </c>
      <c r="J104" s="4">
        <v>162.49</v>
      </c>
      <c r="K104" s="4">
        <v>174</v>
      </c>
      <c r="L104" s="9">
        <f t="shared" si="33"/>
        <v>0.93385057471264377</v>
      </c>
      <c r="M104" s="4">
        <v>11.51</v>
      </c>
      <c r="N104" s="4">
        <v>1.46</v>
      </c>
      <c r="O104" s="4">
        <v>0.219</v>
      </c>
      <c r="Q104" s="4">
        <v>3</v>
      </c>
      <c r="R104" s="4">
        <v>163.46</v>
      </c>
      <c r="S104" s="5">
        <v>154</v>
      </c>
      <c r="T104" s="9">
        <f t="shared" si="34"/>
        <v>0.9385714285714285</v>
      </c>
      <c r="U104" s="4">
        <v>9.4600000000000009</v>
      </c>
      <c r="V104" s="4">
        <v>1.33</v>
      </c>
      <c r="W104" s="4">
        <v>0.191</v>
      </c>
    </row>
    <row r="105" spans="1:23" x14ac:dyDescent="0.3">
      <c r="I105" s="4">
        <v>4</v>
      </c>
      <c r="J105" s="4">
        <v>157.6</v>
      </c>
      <c r="K105" s="4">
        <v>163</v>
      </c>
      <c r="L105" s="9">
        <f t="shared" si="33"/>
        <v>0.96687116564417175</v>
      </c>
      <c r="M105" s="4">
        <v>5.4</v>
      </c>
      <c r="N105" s="4">
        <v>1.53</v>
      </c>
      <c r="O105" s="4">
        <v>0.23100000000000001</v>
      </c>
      <c r="Q105" s="4">
        <v>4</v>
      </c>
      <c r="R105" s="4">
        <v>158.86000000000001</v>
      </c>
      <c r="S105" s="5">
        <v>154</v>
      </c>
      <c r="T105" s="9">
        <f t="shared" si="34"/>
        <v>0.96844155844155833</v>
      </c>
      <c r="U105" s="4">
        <v>4.8600000000000003</v>
      </c>
      <c r="V105" s="4">
        <v>1.41</v>
      </c>
      <c r="W105" s="4">
        <v>0.18099999999999999</v>
      </c>
    </row>
    <row r="106" spans="1:23" x14ac:dyDescent="0.3">
      <c r="I106" s="4">
        <v>5</v>
      </c>
      <c r="J106" s="4">
        <v>156.43</v>
      </c>
      <c r="K106" s="4">
        <v>157</v>
      </c>
      <c r="L106" s="9">
        <f t="shared" si="33"/>
        <v>0.99636942675159235</v>
      </c>
      <c r="M106" s="4">
        <v>0.56999999999999995</v>
      </c>
      <c r="N106" s="4">
        <v>1.59</v>
      </c>
      <c r="O106" s="4">
        <v>0.24399999999999999</v>
      </c>
      <c r="Q106" s="4">
        <v>5</v>
      </c>
      <c r="R106" s="4">
        <v>149.94999999999999</v>
      </c>
      <c r="S106" s="5">
        <v>160</v>
      </c>
      <c r="T106" s="9">
        <f t="shared" si="34"/>
        <v>0.93718749999999995</v>
      </c>
      <c r="U106" s="4">
        <v>10.050000000000001</v>
      </c>
      <c r="V106" s="4">
        <v>1.48</v>
      </c>
      <c r="W106" s="4">
        <v>0.22800000000000001</v>
      </c>
    </row>
    <row r="107" spans="1:23" x14ac:dyDescent="0.3">
      <c r="I107" s="4">
        <v>6</v>
      </c>
      <c r="J107" s="4">
        <v>150.21</v>
      </c>
      <c r="K107" s="4">
        <v>172</v>
      </c>
      <c r="L107" s="9">
        <f t="shared" si="33"/>
        <v>0.87331395348837215</v>
      </c>
      <c r="M107" s="4">
        <v>21.79</v>
      </c>
      <c r="N107" s="4">
        <v>1.73</v>
      </c>
      <c r="O107" s="4">
        <v>0.34799999999999998</v>
      </c>
      <c r="Q107" s="4">
        <v>6</v>
      </c>
      <c r="R107" s="4">
        <v>165.97</v>
      </c>
      <c r="S107" s="5">
        <v>156</v>
      </c>
      <c r="T107" s="9">
        <f t="shared" si="34"/>
        <v>0.93608974358974362</v>
      </c>
      <c r="U107" s="4">
        <v>9.9700000000000006</v>
      </c>
      <c r="V107" s="4">
        <v>1.48</v>
      </c>
      <c r="W107" s="4">
        <v>0.24399999999999999</v>
      </c>
    </row>
    <row r="108" spans="1:23" x14ac:dyDescent="0.3">
      <c r="I108" s="4">
        <v>7</v>
      </c>
      <c r="J108" s="4">
        <v>159.33000000000001</v>
      </c>
      <c r="K108" s="4">
        <v>149</v>
      </c>
      <c r="L108" s="9">
        <f t="shared" si="33"/>
        <v>0.93067114093959724</v>
      </c>
      <c r="M108" s="4">
        <v>10.33</v>
      </c>
      <c r="N108" s="4">
        <v>1.53</v>
      </c>
      <c r="O108" s="4">
        <v>0.24399999999999999</v>
      </c>
      <c r="Q108" s="4">
        <v>7</v>
      </c>
      <c r="R108" s="4">
        <v>142.68</v>
      </c>
      <c r="S108" s="5">
        <v>153</v>
      </c>
      <c r="T108" s="9">
        <f t="shared" si="34"/>
        <v>0.9325490196078432</v>
      </c>
      <c r="U108" s="4">
        <v>10.32</v>
      </c>
      <c r="V108" s="4">
        <v>1.45</v>
      </c>
      <c r="W108" s="4">
        <v>0.21</v>
      </c>
    </row>
    <row r="109" spans="1:23" x14ac:dyDescent="0.3">
      <c r="I109" s="4">
        <v>8</v>
      </c>
      <c r="J109" s="4">
        <v>154.51</v>
      </c>
      <c r="K109" s="4">
        <v>166</v>
      </c>
      <c r="L109" s="9">
        <f t="shared" si="33"/>
        <v>0.93078313253012046</v>
      </c>
      <c r="M109" s="4">
        <v>11.49</v>
      </c>
      <c r="N109" s="4">
        <v>1.52</v>
      </c>
      <c r="O109" s="4">
        <v>0.28599999999999998</v>
      </c>
      <c r="Q109" s="4">
        <v>8</v>
      </c>
      <c r="R109" s="4">
        <v>168.78</v>
      </c>
      <c r="S109" s="5">
        <v>160</v>
      </c>
      <c r="T109" s="9">
        <f t="shared" si="34"/>
        <v>0.94512499999999999</v>
      </c>
      <c r="U109" s="4">
        <v>8.7799999999999994</v>
      </c>
      <c r="V109" s="4">
        <v>1.29</v>
      </c>
      <c r="W109" s="4">
        <v>0.217</v>
      </c>
    </row>
    <row r="110" spans="1:23" x14ac:dyDescent="0.3">
      <c r="I110" s="4">
        <v>9</v>
      </c>
      <c r="J110" s="4">
        <v>163.24</v>
      </c>
      <c r="K110" s="4">
        <v>174</v>
      </c>
      <c r="L110" s="9">
        <f t="shared" si="33"/>
        <v>0.93816091954022995</v>
      </c>
      <c r="M110" s="4">
        <v>10.76</v>
      </c>
      <c r="N110" s="4">
        <v>1.59</v>
      </c>
      <c r="O110" s="4">
        <v>0.27900000000000003</v>
      </c>
      <c r="Q110" s="4">
        <v>9</v>
      </c>
      <c r="R110" s="4">
        <v>163.69999999999999</v>
      </c>
      <c r="S110" s="5">
        <v>166</v>
      </c>
      <c r="T110" s="9">
        <f t="shared" si="34"/>
        <v>0.98614457831325297</v>
      </c>
      <c r="U110" s="4">
        <v>2.2999999999999998</v>
      </c>
      <c r="V110" s="4">
        <v>1.41</v>
      </c>
      <c r="W110" s="4">
        <v>0.193</v>
      </c>
    </row>
    <row r="111" spans="1:23" x14ac:dyDescent="0.3">
      <c r="I111" s="4">
        <v>10</v>
      </c>
      <c r="J111" s="6">
        <v>149.66999999999999</v>
      </c>
      <c r="K111" s="4">
        <v>172</v>
      </c>
      <c r="L111" s="9">
        <f t="shared" si="33"/>
        <v>0.87017441860465106</v>
      </c>
      <c r="M111" s="6">
        <v>22.33</v>
      </c>
      <c r="N111" s="4">
        <v>1.61</v>
      </c>
      <c r="O111" s="4">
        <v>0.29499999999999998</v>
      </c>
      <c r="Q111" s="4">
        <v>10</v>
      </c>
      <c r="R111" s="6">
        <v>164.42</v>
      </c>
      <c r="S111" s="5">
        <v>156</v>
      </c>
      <c r="T111" s="9">
        <f t="shared" si="34"/>
        <v>0.94602564102564113</v>
      </c>
      <c r="U111" s="6">
        <v>8.42</v>
      </c>
      <c r="V111" s="6">
        <v>1.36</v>
      </c>
      <c r="W111" s="4">
        <v>0.23799999999999999</v>
      </c>
    </row>
    <row r="112" spans="1:23" x14ac:dyDescent="0.3">
      <c r="L112" s="10" t="str">
        <f>TEXT(AVERAGE(L102:L111),"0.0%")&amp; "±" &amp;TEXT(_xlfn.STDEV.S(L102:L111),"0.0%")</f>
        <v>94.2%±4.5%</v>
      </c>
      <c r="M112" s="10">
        <f>AVERAGE(M102:M111)</f>
        <v>9.8330000000000002</v>
      </c>
      <c r="N112" s="10">
        <f>AVERAGE(N102:N111)</f>
        <v>1.5599999999999998</v>
      </c>
      <c r="O112" s="10">
        <f>AVERAGE(O102:O111)</f>
        <v>0.26529999999999998</v>
      </c>
      <c r="T112" s="10" t="str">
        <f>TEXT(AVERAGE(T102:T111),"0.0%")&amp; "±" &amp;TEXT(_xlfn.STDEV.S(T102:T111),"0.0%")</f>
        <v>95.6%±2.3%</v>
      </c>
      <c r="U112" s="10">
        <f>AVERAGE(U102:U111)</f>
        <v>6.8650000000000002</v>
      </c>
      <c r="V112" s="10">
        <f>AVERAGE(V102:V111)</f>
        <v>1.389</v>
      </c>
      <c r="W112" s="10">
        <f>AVERAGE(W102:W111)</f>
        <v>0.21980000000000005</v>
      </c>
    </row>
    <row r="114" spans="9:23" x14ac:dyDescent="0.3">
      <c r="I114" s="14"/>
      <c r="J114" s="14"/>
      <c r="K114" s="14"/>
      <c r="L114" s="14"/>
      <c r="M114" s="14"/>
      <c r="N114" s="14"/>
      <c r="O114" s="14"/>
      <c r="P114" s="15"/>
      <c r="Q114" s="14"/>
      <c r="R114" s="14"/>
      <c r="S114" s="14"/>
      <c r="T114" s="14"/>
      <c r="U114" s="14"/>
      <c r="V114" s="14"/>
      <c r="W114" s="14"/>
    </row>
    <row r="115" spans="9:23" x14ac:dyDescent="0.3">
      <c r="I115" s="16"/>
      <c r="J115" s="16"/>
      <c r="K115" s="16"/>
      <c r="L115" s="16"/>
      <c r="M115" s="16"/>
      <c r="N115" s="16"/>
      <c r="O115" s="16"/>
      <c r="P115" s="15"/>
      <c r="Q115" s="16"/>
      <c r="R115" s="16"/>
      <c r="S115" s="16"/>
      <c r="T115" s="16"/>
      <c r="U115" s="16"/>
      <c r="V115" s="16"/>
      <c r="W115" s="16"/>
    </row>
    <row r="116" spans="9:23" x14ac:dyDescent="0.3">
      <c r="I116" s="17"/>
      <c r="J116" s="17"/>
      <c r="K116" s="18"/>
      <c r="L116" s="19"/>
      <c r="M116" s="17"/>
      <c r="N116" s="17"/>
      <c r="O116" s="17"/>
      <c r="P116" s="15"/>
      <c r="Q116" s="17"/>
      <c r="R116" s="17"/>
      <c r="S116" s="17"/>
      <c r="T116" s="19"/>
      <c r="U116" s="17"/>
      <c r="V116" s="17"/>
      <c r="W116" s="17"/>
    </row>
    <row r="117" spans="9:23" x14ac:dyDescent="0.3">
      <c r="I117" s="17"/>
      <c r="J117" s="17"/>
      <c r="K117" s="18"/>
      <c r="L117" s="19"/>
      <c r="M117" s="17"/>
      <c r="N117" s="17"/>
      <c r="O117" s="17"/>
      <c r="P117" s="15"/>
      <c r="Q117" s="17"/>
      <c r="R117" s="17"/>
      <c r="S117" s="17"/>
      <c r="T117" s="19"/>
      <c r="U117" s="17"/>
      <c r="V117" s="17"/>
      <c r="W117" s="17"/>
    </row>
    <row r="118" spans="9:23" x14ac:dyDescent="0.3">
      <c r="I118" s="17"/>
      <c r="J118" s="17"/>
      <c r="K118" s="18"/>
      <c r="L118" s="19"/>
      <c r="M118" s="17"/>
      <c r="N118" s="17"/>
      <c r="O118" s="17"/>
      <c r="P118" s="15"/>
      <c r="Q118" s="17"/>
      <c r="R118" s="17"/>
      <c r="S118" s="17"/>
      <c r="T118" s="19"/>
      <c r="U118" s="17"/>
      <c r="V118" s="17"/>
      <c r="W118" s="17"/>
    </row>
    <row r="119" spans="9:23" x14ac:dyDescent="0.3">
      <c r="I119" s="17"/>
      <c r="J119" s="17"/>
      <c r="K119" s="18"/>
      <c r="L119" s="19"/>
      <c r="M119" s="17"/>
      <c r="N119" s="17"/>
      <c r="O119" s="17"/>
      <c r="P119" s="15"/>
      <c r="Q119" s="17"/>
      <c r="R119" s="17"/>
      <c r="S119" s="17"/>
      <c r="T119" s="19"/>
      <c r="U119" s="17"/>
      <c r="V119" s="17"/>
      <c r="W119" s="17"/>
    </row>
    <row r="120" spans="9:23" x14ac:dyDescent="0.3">
      <c r="I120" s="17"/>
      <c r="J120" s="17"/>
      <c r="K120" s="18"/>
      <c r="L120" s="19"/>
      <c r="M120" s="17"/>
      <c r="N120" s="17"/>
      <c r="O120" s="17"/>
      <c r="P120" s="15"/>
      <c r="Q120" s="17"/>
      <c r="R120" s="17"/>
      <c r="S120" s="17"/>
      <c r="T120" s="19"/>
      <c r="U120" s="17"/>
      <c r="V120" s="17"/>
      <c r="W120" s="17"/>
    </row>
    <row r="121" spans="9:23" x14ac:dyDescent="0.3">
      <c r="I121" s="17"/>
      <c r="J121" s="17"/>
      <c r="K121" s="18"/>
      <c r="L121" s="19"/>
      <c r="M121" s="17"/>
      <c r="N121" s="17"/>
      <c r="O121" s="17"/>
      <c r="P121" s="15"/>
      <c r="Q121" s="17"/>
      <c r="R121" s="17"/>
      <c r="S121" s="17"/>
      <c r="T121" s="19"/>
      <c r="U121" s="17"/>
      <c r="V121" s="17"/>
      <c r="W121" s="17"/>
    </row>
    <row r="122" spans="9:23" x14ac:dyDescent="0.3">
      <c r="I122" s="17"/>
      <c r="J122" s="17"/>
      <c r="K122" s="18"/>
      <c r="L122" s="19"/>
      <c r="M122" s="17"/>
      <c r="N122" s="17"/>
      <c r="O122" s="17"/>
      <c r="P122" s="15"/>
      <c r="Q122" s="17"/>
      <c r="R122" s="17"/>
      <c r="S122" s="17"/>
      <c r="T122" s="19"/>
      <c r="U122" s="17"/>
      <c r="V122" s="17"/>
      <c r="W122" s="17"/>
    </row>
    <row r="123" spans="9:23" x14ac:dyDescent="0.3">
      <c r="I123" s="17"/>
      <c r="J123" s="17"/>
      <c r="K123" s="18"/>
      <c r="L123" s="19"/>
      <c r="M123" s="17"/>
      <c r="N123" s="17"/>
      <c r="O123" s="17"/>
      <c r="P123" s="15"/>
      <c r="Q123" s="17"/>
      <c r="R123" s="17"/>
      <c r="S123" s="17"/>
      <c r="T123" s="19"/>
      <c r="U123" s="17"/>
      <c r="V123" s="17"/>
      <c r="W123" s="17"/>
    </row>
    <row r="124" spans="9:23" x14ac:dyDescent="0.3">
      <c r="I124" s="17"/>
      <c r="J124" s="17"/>
      <c r="K124" s="18"/>
      <c r="L124" s="19"/>
      <c r="M124" s="17"/>
      <c r="N124" s="17"/>
      <c r="O124" s="17"/>
      <c r="P124" s="15"/>
      <c r="Q124" s="17"/>
      <c r="R124" s="17"/>
      <c r="S124" s="17"/>
      <c r="T124" s="19"/>
      <c r="U124" s="17"/>
      <c r="V124" s="17"/>
      <c r="W124" s="17"/>
    </row>
    <row r="125" spans="9:23" x14ac:dyDescent="0.3">
      <c r="I125" s="17"/>
      <c r="J125" s="20"/>
      <c r="K125" s="18"/>
      <c r="L125" s="19"/>
      <c r="M125" s="20"/>
      <c r="N125" s="17"/>
      <c r="O125" s="17"/>
      <c r="P125" s="15"/>
      <c r="Q125" s="17"/>
      <c r="R125" s="20"/>
      <c r="S125" s="17"/>
      <c r="T125" s="19"/>
      <c r="U125" s="20"/>
      <c r="V125" s="17"/>
      <c r="W125" s="17"/>
    </row>
    <row r="126" spans="9:23" x14ac:dyDescent="0.3">
      <c r="I126" s="15"/>
      <c r="J126" s="15"/>
      <c r="K126" s="15"/>
      <c r="L126" s="16"/>
      <c r="M126" s="16"/>
      <c r="N126" s="16"/>
      <c r="O126" s="16"/>
      <c r="P126" s="15"/>
      <c r="Q126" s="15"/>
      <c r="R126" s="15"/>
      <c r="S126" s="15"/>
      <c r="T126" s="16"/>
      <c r="U126" s="16"/>
      <c r="V126" s="16"/>
      <c r="W126" s="16"/>
    </row>
  </sheetData>
  <mergeCells count="40">
    <mergeCell ref="A1:G1"/>
    <mergeCell ref="I1:W1"/>
    <mergeCell ref="Y1:AM1"/>
    <mergeCell ref="A86:G86"/>
    <mergeCell ref="I100:O100"/>
    <mergeCell ref="Q100:W100"/>
    <mergeCell ref="I114:O114"/>
    <mergeCell ref="Q114:W114"/>
    <mergeCell ref="A72:G72"/>
    <mergeCell ref="A2:G2"/>
    <mergeCell ref="A16:G16"/>
    <mergeCell ref="A30:G30"/>
    <mergeCell ref="A44:G44"/>
    <mergeCell ref="A58:G58"/>
    <mergeCell ref="I2:O2"/>
    <mergeCell ref="Q44:W44"/>
    <mergeCell ref="Q58:W58"/>
    <mergeCell ref="I44:O44"/>
    <mergeCell ref="Q2:W2"/>
    <mergeCell ref="I30:O30"/>
    <mergeCell ref="Q30:W30"/>
    <mergeCell ref="Q16:W16"/>
    <mergeCell ref="I16:O16"/>
    <mergeCell ref="Q86:W86"/>
    <mergeCell ref="I86:O86"/>
    <mergeCell ref="Q72:W72"/>
    <mergeCell ref="I72:O72"/>
    <mergeCell ref="I58:O58"/>
    <mergeCell ref="Y2:AE2"/>
    <mergeCell ref="AG72:AM72"/>
    <mergeCell ref="Y72:AE72"/>
    <mergeCell ref="Y58:AE58"/>
    <mergeCell ref="Y44:AE44"/>
    <mergeCell ref="AG44:AM44"/>
    <mergeCell ref="AG30:AM30"/>
    <mergeCell ref="Y30:AE30"/>
    <mergeCell ref="AG16:AM16"/>
    <mergeCell ref="Y16:AE16"/>
    <mergeCell ref="AG2:AM2"/>
    <mergeCell ref="AG58:AM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2025-12-29T10:15:21Z</dcterms:created>
  <dcterms:modified xsi:type="dcterms:W3CDTF">2025-12-29T16:12:02Z</dcterms:modified>
</cp:coreProperties>
</file>