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"/>
    </mc:Choice>
  </mc:AlternateContent>
  <xr:revisionPtr revIDLastSave="0" documentId="8_{510D26FA-E4EC-4E38-AE47-F9C8B86E1231}" xr6:coauthVersionLast="47" xr6:coauthVersionMax="47" xr10:uidLastSave="{00000000-0000-0000-0000-000000000000}"/>
  <bookViews>
    <workbookView xWindow="3045" yWindow="900" windowWidth="29910" windowHeight="20205" xr2:uid="{2F55FF43-9CBA-40A1-993D-C02B70306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L13" i="1"/>
  <c r="H13" i="1"/>
  <c r="D13" i="1"/>
  <c r="Q13" i="1"/>
  <c r="M13" i="1"/>
  <c r="I13" i="1"/>
  <c r="E13" i="1"/>
  <c r="J13" i="1"/>
  <c r="K13" i="1"/>
  <c r="N13" i="1"/>
  <c r="O13" i="1"/>
  <c r="F13" i="1"/>
  <c r="G13" i="1"/>
  <c r="C13" i="1"/>
  <c r="B13" i="1"/>
  <c r="Q4" i="1"/>
  <c r="Q5" i="1"/>
  <c r="Q6" i="1"/>
  <c r="Q7" i="1"/>
  <c r="Q8" i="1"/>
  <c r="Q9" i="1"/>
  <c r="Q10" i="1"/>
  <c r="Q11" i="1"/>
  <c r="Q12" i="1"/>
  <c r="Q3" i="1"/>
  <c r="M4" i="1"/>
  <c r="M5" i="1"/>
  <c r="M6" i="1"/>
  <c r="M7" i="1"/>
  <c r="M8" i="1"/>
  <c r="M9" i="1"/>
  <c r="M10" i="1"/>
  <c r="M11" i="1"/>
  <c r="M12" i="1"/>
  <c r="M3" i="1"/>
  <c r="I4" i="1"/>
  <c r="I5" i="1"/>
  <c r="I6" i="1"/>
  <c r="I7" i="1"/>
  <c r="I8" i="1"/>
  <c r="I9" i="1"/>
  <c r="I10" i="1"/>
  <c r="I11" i="1"/>
  <c r="I12" i="1"/>
  <c r="I3" i="1"/>
  <c r="E4" i="1"/>
  <c r="E5" i="1"/>
  <c r="E6" i="1"/>
  <c r="E7" i="1"/>
  <c r="E8" i="1"/>
  <c r="E9" i="1"/>
  <c r="E10" i="1"/>
  <c r="E11" i="1"/>
  <c r="E12" i="1"/>
  <c r="D3" i="1"/>
  <c r="E3" i="1"/>
  <c r="P4" i="1"/>
  <c r="P5" i="1"/>
  <c r="P6" i="1"/>
  <c r="P7" i="1"/>
  <c r="P8" i="1"/>
  <c r="P9" i="1"/>
  <c r="P10" i="1"/>
  <c r="P11" i="1"/>
  <c r="P12" i="1"/>
  <c r="P3" i="1"/>
  <c r="L4" i="1"/>
  <c r="L5" i="1"/>
  <c r="L6" i="1"/>
  <c r="L7" i="1"/>
  <c r="L8" i="1"/>
  <c r="L9" i="1"/>
  <c r="L10" i="1"/>
  <c r="L11" i="1"/>
  <c r="L12" i="1"/>
  <c r="L3" i="1"/>
  <c r="H4" i="1"/>
  <c r="H5" i="1"/>
  <c r="H6" i="1"/>
  <c r="H7" i="1"/>
  <c r="H8" i="1"/>
  <c r="H9" i="1"/>
  <c r="H10" i="1"/>
  <c r="H11" i="1"/>
  <c r="H12" i="1"/>
  <c r="H3" i="1"/>
  <c r="D4" i="1"/>
  <c r="D5" i="1"/>
  <c r="D6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<sst xmlns="http://schemas.openxmlformats.org/spreadsheetml/2006/main" count="22" uniqueCount="10">
  <si>
    <t>Pred</t>
  </si>
  <si>
    <t>GT</t>
  </si>
  <si>
    <t>Accuracy</t>
    <phoneticPr fontId="1" type="noConversion"/>
  </si>
  <si>
    <t>F1-score</t>
    <phoneticPr fontId="1" type="noConversion"/>
  </si>
  <si>
    <t>Jump front and back</t>
    <phoneticPr fontId="1" type="noConversion"/>
  </si>
  <si>
    <t>Front elevation of arms</t>
    <phoneticPr fontId="1" type="noConversion"/>
  </si>
  <si>
    <t>Waist bends forward</t>
    <phoneticPr fontId="1" type="noConversion"/>
  </si>
  <si>
    <t>Knees bending</t>
    <phoneticPr fontId="1" type="noConversion"/>
  </si>
  <si>
    <t>Test Subject Id</t>
    <phoneticPr fontId="1" type="noConversion"/>
  </si>
  <si>
    <t>Mean ± 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</si>
</sst>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000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"/>
      <family val="3"/>
      <charset val="129"/>
    </font>
    <font>
      <b/>
      <sz val="11"/>
      <color theme="1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9" fontId="2" fillId="0" borderId="3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9" fontId="2" fillId="0" borderId="24" xfId="0" applyNumberFormat="1" applyFont="1" applyBorder="1" applyAlignment="1">
      <alignment horizontal="center" vertical="center"/>
    </xf>
    <xf numFmtId="182" fontId="2" fillId="0" borderId="21" xfId="0" applyNumberFormat="1" applyFont="1" applyBorder="1" applyAlignment="1">
      <alignment horizontal="center" vertical="center"/>
    </xf>
    <xf numFmtId="182" fontId="2" fillId="0" borderId="25" xfId="0" applyNumberFormat="1" applyFont="1" applyBorder="1" applyAlignment="1">
      <alignment horizontal="center" vertical="center"/>
    </xf>
    <xf numFmtId="182" fontId="2" fillId="0" borderId="11" xfId="0" applyNumberFormat="1" applyFont="1" applyBorder="1" applyAlignment="1">
      <alignment horizontal="center" vertical="center"/>
    </xf>
    <xf numFmtId="182" fontId="2" fillId="0" borderId="23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608C-0A97-42C6-8D5D-81319203D80A}">
  <dimension ref="A1:R39"/>
  <sheetViews>
    <sheetView tabSelected="1" workbookViewId="0">
      <selection activeCell="L19" sqref="L19"/>
    </sheetView>
  </sheetViews>
  <sheetFormatPr defaultRowHeight="16.5" x14ac:dyDescent="0.3"/>
  <cols>
    <col min="1" max="17" width="13.125" customWidth="1"/>
  </cols>
  <sheetData>
    <row r="1" spans="1:18" ht="18.75" thickBot="1" x14ac:dyDescent="0.35">
      <c r="A1" s="4" t="s">
        <v>8</v>
      </c>
      <c r="B1" s="19" t="s">
        <v>4</v>
      </c>
      <c r="C1" s="19"/>
      <c r="D1" s="19"/>
      <c r="E1" s="20"/>
      <c r="F1" s="21" t="s">
        <v>5</v>
      </c>
      <c r="G1" s="5"/>
      <c r="H1" s="5"/>
      <c r="I1" s="6"/>
      <c r="J1" s="23" t="s">
        <v>6</v>
      </c>
      <c r="K1" s="19"/>
      <c r="L1" s="19"/>
      <c r="M1" s="20"/>
      <c r="N1" s="24" t="s">
        <v>7</v>
      </c>
      <c r="O1" s="25"/>
      <c r="P1" s="25"/>
      <c r="Q1" s="26"/>
    </row>
    <row r="2" spans="1:18" ht="18.75" thickBot="1" x14ac:dyDescent="0.35">
      <c r="A2" s="36"/>
      <c r="B2" s="16" t="s">
        <v>0</v>
      </c>
      <c r="C2" s="17" t="s">
        <v>1</v>
      </c>
      <c r="D2" s="17" t="s">
        <v>2</v>
      </c>
      <c r="E2" s="18" t="s">
        <v>3</v>
      </c>
      <c r="F2" s="22" t="s">
        <v>0</v>
      </c>
      <c r="G2" s="17" t="s">
        <v>1</v>
      </c>
      <c r="H2" s="17" t="s">
        <v>2</v>
      </c>
      <c r="I2" s="18" t="s">
        <v>3</v>
      </c>
      <c r="J2" s="16" t="s">
        <v>0</v>
      </c>
      <c r="K2" s="17" t="s">
        <v>1</v>
      </c>
      <c r="L2" s="17" t="s">
        <v>2</v>
      </c>
      <c r="M2" s="18" t="s">
        <v>3</v>
      </c>
      <c r="N2" s="16" t="s">
        <v>0</v>
      </c>
      <c r="O2" s="17" t="s">
        <v>1</v>
      </c>
      <c r="P2" s="17" t="s">
        <v>2</v>
      </c>
      <c r="Q2" s="17" t="s">
        <v>3</v>
      </c>
    </row>
    <row r="3" spans="1:18" ht="18" x14ac:dyDescent="0.3">
      <c r="A3" s="9">
        <v>1</v>
      </c>
      <c r="B3" s="7">
        <v>55.3</v>
      </c>
      <c r="C3" s="8">
        <v>40</v>
      </c>
      <c r="D3" s="11">
        <f>(C3-ABS(C3-B3))/C3</f>
        <v>0.61750000000000005</v>
      </c>
      <c r="E3" s="12">
        <f>2*MIN(B3, C3)/(B3+C3)</f>
        <v>0.83945435466946483</v>
      </c>
      <c r="F3" s="7">
        <v>16.899999999999999</v>
      </c>
      <c r="G3" s="8">
        <v>20</v>
      </c>
      <c r="H3" s="11">
        <f>(G3-ABS(G3-F3))/G3</f>
        <v>0.84499999999999997</v>
      </c>
      <c r="I3" s="12">
        <f>2*MIN(F3, G3)/(F3+G3)</f>
        <v>0.9159891598915989</v>
      </c>
      <c r="J3" s="7">
        <v>22.8</v>
      </c>
      <c r="K3" s="8">
        <v>21</v>
      </c>
      <c r="L3" s="11">
        <f t="shared" ref="L3:L12" si="0">(K3-ABS(K3-J3))/K3</f>
        <v>0.91428571428571426</v>
      </c>
      <c r="M3" s="12">
        <f>2*MIN(J3, K3)/(J3+K3)</f>
        <v>0.95890410958904115</v>
      </c>
      <c r="N3" s="7">
        <v>21.9</v>
      </c>
      <c r="O3" s="8">
        <v>20</v>
      </c>
      <c r="P3" s="11">
        <f>(O3-ABS(O3-N3))/O3</f>
        <v>0.90500000000000003</v>
      </c>
      <c r="Q3" s="32">
        <f>2*MIN(N3, O3)/(N3+O3)</f>
        <v>0.95465393794749409</v>
      </c>
    </row>
    <row r="4" spans="1:18" ht="18" x14ac:dyDescent="0.3">
      <c r="A4" s="3">
        <v>2</v>
      </c>
      <c r="B4" s="2">
        <v>41.5</v>
      </c>
      <c r="C4" s="1">
        <v>45</v>
      </c>
      <c r="D4" s="11">
        <f t="shared" ref="D4:D12" si="1">(C4-ABS(C4-B4))/C4</f>
        <v>0.92222222222222228</v>
      </c>
      <c r="E4" s="12">
        <f t="shared" ref="E4:E12" si="2">2*MIN(B4, C4)/(B4+C4)</f>
        <v>0.95953757225433522</v>
      </c>
      <c r="F4" s="2">
        <v>20.8</v>
      </c>
      <c r="G4" s="1">
        <v>20</v>
      </c>
      <c r="H4" s="11">
        <f t="shared" ref="H4:H12" si="3">(G4-ABS(G4-F4))/G4</f>
        <v>0.96</v>
      </c>
      <c r="I4" s="12">
        <f t="shared" ref="I4:I12" si="4">2*MIN(F4, G4)/(F4+G4)</f>
        <v>0.98039215686274517</v>
      </c>
      <c r="J4" s="2">
        <v>19.399999999999999</v>
      </c>
      <c r="K4" s="1">
        <v>19</v>
      </c>
      <c r="L4" s="11">
        <f t="shared" si="0"/>
        <v>0.97894736842105268</v>
      </c>
      <c r="M4" s="12">
        <f t="shared" ref="M4:M12" si="5">2*MIN(J4, K4)/(J4+K4)</f>
        <v>0.98958333333333337</v>
      </c>
      <c r="N4" s="2">
        <v>27.2</v>
      </c>
      <c r="O4" s="1">
        <v>21</v>
      </c>
      <c r="P4" s="11">
        <f t="shared" ref="P4:P12" si="6">(O4-ABS(O4-N4))/O4</f>
        <v>0.70476190476190481</v>
      </c>
      <c r="Q4" s="33">
        <f t="shared" ref="Q4:Q12" si="7">2*MIN(N4, O4)/(N4+O4)</f>
        <v>0.87136929460580903</v>
      </c>
    </row>
    <row r="5" spans="1:18" ht="18" x14ac:dyDescent="0.3">
      <c r="A5" s="3">
        <v>3</v>
      </c>
      <c r="B5" s="2">
        <v>42.6</v>
      </c>
      <c r="C5" s="1">
        <v>42</v>
      </c>
      <c r="D5" s="11">
        <f t="shared" si="1"/>
        <v>0.98571428571428565</v>
      </c>
      <c r="E5" s="12">
        <f t="shared" si="2"/>
        <v>0.99290780141843982</v>
      </c>
      <c r="F5" s="2">
        <v>18.7</v>
      </c>
      <c r="G5" s="1">
        <v>20</v>
      </c>
      <c r="H5" s="11">
        <f t="shared" si="3"/>
        <v>0.93499999999999994</v>
      </c>
      <c r="I5" s="12">
        <f t="shared" si="4"/>
        <v>0.96640826873385</v>
      </c>
      <c r="J5" s="2">
        <v>14.2</v>
      </c>
      <c r="K5" s="1">
        <v>21</v>
      </c>
      <c r="L5" s="11">
        <f t="shared" si="0"/>
        <v>0.67619047619047612</v>
      </c>
      <c r="M5" s="12">
        <f t="shared" si="5"/>
        <v>0.80681818181818177</v>
      </c>
      <c r="N5" s="2">
        <v>22.6</v>
      </c>
      <c r="O5" s="1">
        <v>21</v>
      </c>
      <c r="P5" s="11">
        <f t="shared" si="6"/>
        <v>0.92380952380952375</v>
      </c>
      <c r="Q5" s="33">
        <f t="shared" si="7"/>
        <v>0.96330275229357798</v>
      </c>
    </row>
    <row r="6" spans="1:18" ht="18" x14ac:dyDescent="0.3">
      <c r="A6" s="3">
        <v>4</v>
      </c>
      <c r="B6" s="2">
        <v>40.799999999999997</v>
      </c>
      <c r="C6" s="1">
        <v>42</v>
      </c>
      <c r="D6" s="11">
        <f t="shared" si="1"/>
        <v>0.97142857142857131</v>
      </c>
      <c r="E6" s="12">
        <f t="shared" si="2"/>
        <v>0.98550724637681153</v>
      </c>
      <c r="F6" s="2">
        <v>12.3</v>
      </c>
      <c r="G6" s="1">
        <v>20</v>
      </c>
      <c r="H6" s="11">
        <f t="shared" si="3"/>
        <v>0.61499999999999999</v>
      </c>
      <c r="I6" s="12">
        <f t="shared" si="4"/>
        <v>0.76160990712074317</v>
      </c>
      <c r="J6" s="2">
        <v>30.4</v>
      </c>
      <c r="K6" s="1">
        <v>20</v>
      </c>
      <c r="L6" s="11">
        <f t="shared" si="0"/>
        <v>0.48000000000000009</v>
      </c>
      <c r="M6" s="12">
        <f t="shared" si="5"/>
        <v>0.79365079365079372</v>
      </c>
      <c r="N6" s="2">
        <v>21.9</v>
      </c>
      <c r="O6" s="1">
        <v>19</v>
      </c>
      <c r="P6" s="11">
        <f t="shared" si="6"/>
        <v>0.84736842105263166</v>
      </c>
      <c r="Q6" s="33">
        <f t="shared" si="7"/>
        <v>0.92909535452322745</v>
      </c>
    </row>
    <row r="7" spans="1:18" ht="18" x14ac:dyDescent="0.3">
      <c r="A7" s="3">
        <v>5</v>
      </c>
      <c r="B7" s="2">
        <v>34.700000000000003</v>
      </c>
      <c r="C7" s="1">
        <v>40</v>
      </c>
      <c r="D7" s="11">
        <f t="shared" si="1"/>
        <v>0.86750000000000005</v>
      </c>
      <c r="E7" s="12">
        <f t="shared" si="2"/>
        <v>0.92904953145917002</v>
      </c>
      <c r="F7" s="2">
        <v>19.399999999999999</v>
      </c>
      <c r="G7" s="1">
        <v>20</v>
      </c>
      <c r="H7" s="11">
        <f t="shared" si="3"/>
        <v>0.97</v>
      </c>
      <c r="I7" s="12">
        <f t="shared" si="4"/>
        <v>0.98477157360406087</v>
      </c>
      <c r="J7" s="2">
        <v>25.7</v>
      </c>
      <c r="K7" s="1">
        <v>20</v>
      </c>
      <c r="L7" s="11">
        <f t="shared" si="0"/>
        <v>0.71500000000000008</v>
      </c>
      <c r="M7" s="12">
        <f t="shared" si="5"/>
        <v>0.87527352297592997</v>
      </c>
      <c r="N7" s="2">
        <v>19.2</v>
      </c>
      <c r="O7" s="1">
        <v>20</v>
      </c>
      <c r="P7" s="11">
        <f t="shared" si="6"/>
        <v>0.96</v>
      </c>
      <c r="Q7" s="33">
        <f t="shared" si="7"/>
        <v>0.97959183673469374</v>
      </c>
    </row>
    <row r="8" spans="1:18" ht="18" x14ac:dyDescent="0.3">
      <c r="A8" s="3">
        <v>6</v>
      </c>
      <c r="B8" s="2">
        <v>44.6</v>
      </c>
      <c r="C8" s="1">
        <v>42</v>
      </c>
      <c r="D8" s="11">
        <f t="shared" si="1"/>
        <v>0.93809523809523809</v>
      </c>
      <c r="E8" s="12">
        <f t="shared" si="2"/>
        <v>0.96997690531177838</v>
      </c>
      <c r="F8" s="2">
        <v>6.8</v>
      </c>
      <c r="G8" s="1">
        <v>20</v>
      </c>
      <c r="H8" s="11">
        <f t="shared" si="3"/>
        <v>0.34</v>
      </c>
      <c r="I8" s="12">
        <f t="shared" si="4"/>
        <v>0.5074626865671642</v>
      </c>
      <c r="J8" s="2">
        <v>19.100000000000001</v>
      </c>
      <c r="K8" s="1">
        <v>20</v>
      </c>
      <c r="L8" s="11">
        <f t="shared" si="0"/>
        <v>0.95500000000000007</v>
      </c>
      <c r="M8" s="12">
        <f t="shared" si="5"/>
        <v>0.97698209718670082</v>
      </c>
      <c r="N8" s="2">
        <v>22.8</v>
      </c>
      <c r="O8" s="1">
        <v>20</v>
      </c>
      <c r="P8" s="11">
        <f t="shared" si="6"/>
        <v>0.86</v>
      </c>
      <c r="Q8" s="33">
        <f t="shared" si="7"/>
        <v>0.93457943925233655</v>
      </c>
    </row>
    <row r="9" spans="1:18" ht="18" x14ac:dyDescent="0.3">
      <c r="A9" s="3">
        <v>7</v>
      </c>
      <c r="B9" s="2">
        <v>36.5</v>
      </c>
      <c r="C9" s="1">
        <v>38</v>
      </c>
      <c r="D9" s="11">
        <f t="shared" si="1"/>
        <v>0.96052631578947367</v>
      </c>
      <c r="E9" s="12">
        <f t="shared" si="2"/>
        <v>0.97986577181208057</v>
      </c>
      <c r="F9" s="2">
        <v>14.4</v>
      </c>
      <c r="G9" s="1">
        <v>20</v>
      </c>
      <c r="H9" s="11">
        <f t="shared" si="3"/>
        <v>0.72</v>
      </c>
      <c r="I9" s="12">
        <f t="shared" si="4"/>
        <v>0.83720930232558144</v>
      </c>
      <c r="J9" s="2">
        <v>13.9</v>
      </c>
      <c r="K9" s="1">
        <v>20</v>
      </c>
      <c r="L9" s="11">
        <f t="shared" si="0"/>
        <v>0.69500000000000006</v>
      </c>
      <c r="M9" s="12">
        <f t="shared" si="5"/>
        <v>0.82005899705014751</v>
      </c>
      <c r="N9" s="2">
        <v>21.1</v>
      </c>
      <c r="O9" s="1">
        <v>21</v>
      </c>
      <c r="P9" s="11">
        <f t="shared" si="6"/>
        <v>0.99523809523809514</v>
      </c>
      <c r="Q9" s="33">
        <f t="shared" si="7"/>
        <v>0.99762470308788598</v>
      </c>
      <c r="R9" s="10"/>
    </row>
    <row r="10" spans="1:18" ht="18" x14ac:dyDescent="0.3">
      <c r="A10" s="3">
        <v>8</v>
      </c>
      <c r="B10" s="2">
        <v>36.200000000000003</v>
      </c>
      <c r="C10" s="1">
        <v>41</v>
      </c>
      <c r="D10" s="11">
        <f t="shared" si="1"/>
        <v>0.8829268292682928</v>
      </c>
      <c r="E10" s="12">
        <f t="shared" si="2"/>
        <v>0.93782383419689119</v>
      </c>
      <c r="F10" s="2">
        <v>19</v>
      </c>
      <c r="G10" s="1">
        <v>19</v>
      </c>
      <c r="H10" s="11">
        <f t="shared" si="3"/>
        <v>1</v>
      </c>
      <c r="I10" s="12">
        <f t="shared" si="4"/>
        <v>1</v>
      </c>
      <c r="J10" s="2">
        <v>16.2</v>
      </c>
      <c r="K10" s="1">
        <v>21</v>
      </c>
      <c r="L10" s="11">
        <f t="shared" si="0"/>
        <v>0.77142857142857135</v>
      </c>
      <c r="M10" s="12">
        <f t="shared" si="5"/>
        <v>0.87096774193548376</v>
      </c>
      <c r="N10" s="2">
        <v>12.6</v>
      </c>
      <c r="O10" s="1">
        <v>21</v>
      </c>
      <c r="P10" s="11">
        <f t="shared" si="6"/>
        <v>0.6</v>
      </c>
      <c r="Q10" s="33">
        <f t="shared" si="7"/>
        <v>0.75</v>
      </c>
    </row>
    <row r="11" spans="1:18" ht="18" x14ac:dyDescent="0.3">
      <c r="A11" s="3">
        <v>9</v>
      </c>
      <c r="B11" s="2">
        <v>39.9</v>
      </c>
      <c r="C11" s="1">
        <v>41</v>
      </c>
      <c r="D11" s="11">
        <f t="shared" si="1"/>
        <v>0.97317073170731705</v>
      </c>
      <c r="E11" s="12">
        <f t="shared" si="2"/>
        <v>0.98640296662546345</v>
      </c>
      <c r="F11" s="2">
        <v>15.9</v>
      </c>
      <c r="G11" s="1">
        <v>19</v>
      </c>
      <c r="H11" s="11">
        <f t="shared" si="3"/>
        <v>0.83684210526315794</v>
      </c>
      <c r="I11" s="12">
        <f t="shared" si="4"/>
        <v>0.9111747851002866</v>
      </c>
      <c r="J11" s="2">
        <v>25.7</v>
      </c>
      <c r="K11" s="1">
        <v>21</v>
      </c>
      <c r="L11" s="11">
        <f t="shared" si="0"/>
        <v>0.77619047619047621</v>
      </c>
      <c r="M11" s="12">
        <f t="shared" si="5"/>
        <v>0.899357601713062</v>
      </c>
      <c r="N11" s="2">
        <v>15.3</v>
      </c>
      <c r="O11" s="1">
        <v>21</v>
      </c>
      <c r="P11" s="11">
        <f t="shared" si="6"/>
        <v>0.72857142857142865</v>
      </c>
      <c r="Q11" s="33">
        <f t="shared" si="7"/>
        <v>0.84297520661157033</v>
      </c>
    </row>
    <row r="12" spans="1:18" ht="18.75" thickBot="1" x14ac:dyDescent="0.35">
      <c r="A12" s="35">
        <v>10</v>
      </c>
      <c r="B12" s="28">
        <v>38.9</v>
      </c>
      <c r="C12" s="29">
        <v>40</v>
      </c>
      <c r="D12" s="30">
        <f t="shared" si="1"/>
        <v>0.97249999999999992</v>
      </c>
      <c r="E12" s="31">
        <f t="shared" si="2"/>
        <v>0.98605830164765518</v>
      </c>
      <c r="F12" s="28">
        <v>32</v>
      </c>
      <c r="G12" s="29">
        <v>20</v>
      </c>
      <c r="H12" s="30">
        <f t="shared" si="3"/>
        <v>0.4</v>
      </c>
      <c r="I12" s="31">
        <f t="shared" si="4"/>
        <v>0.76923076923076927</v>
      </c>
      <c r="J12" s="28">
        <v>20.8</v>
      </c>
      <c r="K12" s="29">
        <v>20</v>
      </c>
      <c r="L12" s="30">
        <f t="shared" si="0"/>
        <v>0.96</v>
      </c>
      <c r="M12" s="31">
        <f t="shared" si="5"/>
        <v>0.98039215686274517</v>
      </c>
      <c r="N12" s="28">
        <v>22.8</v>
      </c>
      <c r="O12" s="29">
        <v>21</v>
      </c>
      <c r="P12" s="30">
        <f t="shared" si="6"/>
        <v>0.91428571428571426</v>
      </c>
      <c r="Q12" s="34">
        <f t="shared" si="7"/>
        <v>0.95890410958904115</v>
      </c>
    </row>
    <row r="13" spans="1:18" ht="18" x14ac:dyDescent="0.3">
      <c r="A13" s="14" t="s">
        <v>9</v>
      </c>
      <c r="B13" s="13" t="str">
        <f>ROUND(AVERAGE(B3:B12),1)&amp; "±" &amp;ROUND(_xlfn.STDEV.S(B3:B12),2)</f>
        <v>41.1±5.86</v>
      </c>
      <c r="C13" s="13" t="str">
        <f t="shared" ref="C13:E13" si="8">ROUND(AVERAGE(C3:C12),1)&amp; "±" &amp;ROUND(_xlfn.STDEV.S(C3:C12),2)</f>
        <v>41.1±1.85</v>
      </c>
      <c r="D13" s="13" t="str">
        <f>TEXT(AVERAGE(D3:D12),"0.0%")&amp; "±" &amp;TEXT(_xlfn.STDEV.S(D3:D12),"0.0%")</f>
        <v>90.9%±11.0%</v>
      </c>
      <c r="E13" s="15" t="str">
        <f>ROUND(AVERAGE(E3:E12),4)&amp; "±" &amp;ROUND(_xlfn.STDEV.S(E3:E12),2)</f>
        <v>0.9567±0.05</v>
      </c>
      <c r="F13" s="27" t="str">
        <f t="shared" ref="F13" si="9">ROUND(AVERAGE(F3:F12),1)&amp; "±" &amp;ROUND(_xlfn.STDEV.S(F3:F12),2)</f>
        <v>17.6±6.52</v>
      </c>
      <c r="G13" s="13" t="str">
        <f t="shared" ref="G13" si="10">ROUND(AVERAGE(G3:G12),1)&amp; "±" &amp;ROUND(_xlfn.STDEV.S(G3:G12),2)</f>
        <v>19.8±0.42</v>
      </c>
      <c r="H13" s="13" t="str">
        <f>TEXT(AVERAGE(H3:H12),"0.0%")&amp; "±" &amp;TEXT(_xlfn.STDEV.S(H3:H12),"0.0%")</f>
        <v>76.2%±23.9%</v>
      </c>
      <c r="I13" s="15" t="str">
        <f>ROUND(AVERAGE(I3:I12),4)&amp; "±" &amp;ROUND(_xlfn.STDEV.S(I3:I12),2)</f>
        <v>0.8634±0.15</v>
      </c>
      <c r="J13" s="27" t="str">
        <f t="shared" ref="J13" si="11">ROUND(AVERAGE(J3:J12),1)&amp; "±" &amp;ROUND(_xlfn.STDEV.S(J3:J12),2)</f>
        <v>20.8±5.39</v>
      </c>
      <c r="K13" s="13" t="str">
        <f t="shared" ref="K13" si="12">ROUND(AVERAGE(K3:K12),1)&amp; "±" &amp;ROUND(_xlfn.STDEV.S(K3:K12),2)</f>
        <v>20.3±0.67</v>
      </c>
      <c r="L13" s="13" t="str">
        <f>TEXT(AVERAGE(L3:L12),"0.0%")&amp; "±" &amp;TEXT(_xlfn.STDEV.S(L3:L12),"0.0%")</f>
        <v>79.2%±16.0%</v>
      </c>
      <c r="M13" s="15" t="str">
        <f>ROUND(AVERAGE(M3:M12),4)&amp; "±" &amp;ROUND(_xlfn.STDEV.S(M3:M12),2)</f>
        <v>0.8972±0.08</v>
      </c>
      <c r="N13" s="27" t="str">
        <f t="shared" ref="N13" si="13">ROUND(AVERAGE(N3:N12),1)&amp; "±" &amp;ROUND(_xlfn.STDEV.S(N3:N12),2)</f>
        <v>20.7±4.15</v>
      </c>
      <c r="O13" s="13" t="str">
        <f t="shared" ref="O13" si="14">ROUND(AVERAGE(O3:O12),1)&amp; "±" &amp;ROUND(_xlfn.STDEV.S(O3:O12),2)</f>
        <v>20.5±0.71</v>
      </c>
      <c r="P13" s="13" t="str">
        <f>TEXT(AVERAGE(P3:P12),"0.0%")&amp; "±" &amp;TEXT(_xlfn.STDEV.S(P3:P12),"0.0%")</f>
        <v>84.4%±12.6%</v>
      </c>
      <c r="Q13" s="13" t="str">
        <f>ROUND(AVERAGE(Q3:Q12),4)&amp; "±" &amp;ROUND(_xlfn.STDEV.S(Q3:Q12),2)</f>
        <v>0.9182±0.08</v>
      </c>
    </row>
    <row r="18" spans="4:13" x14ac:dyDescent="0.3">
      <c r="M18" s="10"/>
    </row>
    <row r="23" spans="4:13" x14ac:dyDescent="0.3">
      <c r="D23" s="10"/>
    </row>
    <row r="26" spans="4:13" x14ac:dyDescent="0.3">
      <c r="G26" s="10"/>
      <c r="H26" s="10"/>
      <c r="I26" s="10"/>
      <c r="J26" s="10"/>
      <c r="K26" s="10"/>
    </row>
    <row r="27" spans="4:13" x14ac:dyDescent="0.3">
      <c r="G27" s="10"/>
      <c r="H27" s="10"/>
      <c r="I27" s="10"/>
      <c r="J27" s="10"/>
      <c r="K27" s="10"/>
    </row>
    <row r="28" spans="4:13" x14ac:dyDescent="0.3">
      <c r="G28" s="10"/>
      <c r="H28" s="10"/>
      <c r="I28" s="10"/>
      <c r="J28" s="10"/>
      <c r="K28" s="10"/>
    </row>
    <row r="29" spans="4:13" x14ac:dyDescent="0.3">
      <c r="G29" s="10"/>
      <c r="H29" s="10"/>
      <c r="I29" s="10"/>
      <c r="J29" s="10"/>
      <c r="K29" s="10"/>
    </row>
    <row r="30" spans="4:13" x14ac:dyDescent="0.3">
      <c r="G30" s="10"/>
      <c r="H30" s="10"/>
      <c r="I30" s="10"/>
      <c r="J30" s="10"/>
      <c r="K30" s="10"/>
    </row>
    <row r="31" spans="4:13" x14ac:dyDescent="0.3">
      <c r="G31" s="10"/>
      <c r="H31" s="10"/>
      <c r="I31" s="10"/>
      <c r="J31" s="10"/>
      <c r="K31" s="10"/>
    </row>
    <row r="32" spans="4:13" x14ac:dyDescent="0.3">
      <c r="G32" s="10"/>
      <c r="H32" s="10"/>
      <c r="I32" s="10"/>
      <c r="J32" s="10"/>
      <c r="K32" s="10"/>
    </row>
    <row r="33" spans="7:11" x14ac:dyDescent="0.3">
      <c r="G33" s="10"/>
      <c r="H33" s="10"/>
      <c r="I33" s="10"/>
      <c r="J33" s="10"/>
      <c r="K33" s="10"/>
    </row>
    <row r="34" spans="7:11" x14ac:dyDescent="0.3">
      <c r="G34" s="10"/>
      <c r="H34" s="10"/>
      <c r="I34" s="10"/>
      <c r="J34" s="10"/>
      <c r="K34" s="10"/>
    </row>
    <row r="35" spans="7:11" x14ac:dyDescent="0.3">
      <c r="G35" s="10"/>
      <c r="H35" s="10"/>
      <c r="I35" s="10"/>
      <c r="J35" s="10"/>
      <c r="K35" s="10"/>
    </row>
    <row r="36" spans="7:11" x14ac:dyDescent="0.3">
      <c r="G36" s="10"/>
      <c r="H36" s="10"/>
      <c r="I36" s="10"/>
      <c r="J36" s="10"/>
      <c r="K36" s="10"/>
    </row>
    <row r="37" spans="7:11" x14ac:dyDescent="0.3">
      <c r="G37" s="10"/>
      <c r="H37" s="10"/>
      <c r="I37" s="10"/>
      <c r="J37" s="10"/>
      <c r="K37" s="10"/>
    </row>
    <row r="38" spans="7:11" x14ac:dyDescent="0.3">
      <c r="G38" s="10"/>
      <c r="H38" s="10"/>
      <c r="I38" s="10"/>
      <c r="J38" s="10"/>
      <c r="K38" s="10"/>
    </row>
    <row r="39" spans="7:11" x14ac:dyDescent="0.3">
      <c r="G39" s="10"/>
      <c r="H39" s="10"/>
      <c r="I39" s="10"/>
      <c r="J39" s="10"/>
      <c r="K39" s="10"/>
    </row>
  </sheetData>
  <mergeCells count="5">
    <mergeCell ref="B1:E1"/>
    <mergeCell ref="F1:I1"/>
    <mergeCell ref="J1:M1"/>
    <mergeCell ref="N1:Q1"/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2025-12-23T11:32:12Z</dcterms:created>
  <dcterms:modified xsi:type="dcterms:W3CDTF">2025-12-23T11:59:14Z</dcterms:modified>
</cp:coreProperties>
</file>