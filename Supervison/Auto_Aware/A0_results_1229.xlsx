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문서/LMC/Auto_Aware/Supervison/"/>
    </mc:Choice>
  </mc:AlternateContent>
  <xr:revisionPtr revIDLastSave="268" documentId="8_{70B05D00-C6D2-4E63-BDBD-E5D45ABB4B8A}" xr6:coauthVersionLast="47" xr6:coauthVersionMax="47" xr10:uidLastSave="{53899CD1-2488-4DDD-AFE1-D580997FC025}"/>
  <bookViews>
    <workbookView xWindow="15990" yWindow="1230" windowWidth="20550" windowHeight="20070" xr2:uid="{97BF560A-1D51-4AC7-AA5D-8B62EBC045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3" i="1" l="1"/>
  <c r="E83" i="1"/>
  <c r="D83" i="1"/>
  <c r="F69" i="1"/>
  <c r="E69" i="1"/>
  <c r="D69" i="1"/>
  <c r="F55" i="1"/>
  <c r="E55" i="1"/>
  <c r="D55" i="1"/>
  <c r="F41" i="1"/>
  <c r="E41" i="1"/>
  <c r="D41" i="1"/>
  <c r="F27" i="1"/>
  <c r="E27" i="1"/>
  <c r="D27" i="1"/>
  <c r="F13" i="1"/>
  <c r="E13" i="1"/>
  <c r="D13" i="1"/>
</calcChain>
</file>

<file path=xl/sharedStrings.xml><?xml version="1.0" encoding="utf-8"?>
<sst xmlns="http://schemas.openxmlformats.org/spreadsheetml/2006/main" count="42" uniqueCount="12">
  <si>
    <t>Subject_ID</t>
    <phoneticPr fontId="1" type="noConversion"/>
  </si>
  <si>
    <t>Pred</t>
    <phoneticPr fontId="1" type="noConversion"/>
  </si>
  <si>
    <t>GT</t>
    <phoneticPr fontId="1" type="noConversion"/>
  </si>
  <si>
    <t>MAE</t>
    <phoneticPr fontId="1" type="noConversion"/>
  </si>
  <si>
    <t>k_hat</t>
    <phoneticPr fontId="1" type="noConversion"/>
  </si>
  <si>
    <t>entropy</t>
    <phoneticPr fontId="1" type="noConversion"/>
  </si>
  <si>
    <t>Walking</t>
    <phoneticPr fontId="1" type="noConversion"/>
  </si>
  <si>
    <t>Frontal elevation of arms</t>
    <phoneticPr fontId="1" type="noConversion"/>
  </si>
  <si>
    <t>Knees bending</t>
    <phoneticPr fontId="1" type="noConversion"/>
  </si>
  <si>
    <t>Waist bends forward</t>
    <phoneticPr fontId="1" type="noConversion"/>
  </si>
  <si>
    <t>Jump front and back</t>
    <phoneticPr fontId="1" type="noConversion"/>
  </si>
  <si>
    <t>Running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</si>
</sst>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D2Coding"/>
      <family val="3"/>
      <charset val="129"/>
    </font>
    <font>
      <sz val="11"/>
      <color theme="1"/>
      <name val="D2Coding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B3BE-E745-4439-AD5A-959419BEB23D}">
  <dimension ref="A1:F83"/>
  <sheetViews>
    <sheetView tabSelected="1" topLeftCell="A40" workbookViewId="0">
      <selection activeCell="J66" sqref="J66"/>
    </sheetView>
  </sheetViews>
  <sheetFormatPr defaultRowHeight="16.5" x14ac:dyDescent="0.3"/>
  <cols>
    <col min="1" max="6" width="12.875" customWidth="1"/>
  </cols>
  <sheetData>
    <row r="1" spans="1:6" x14ac:dyDescent="0.3">
      <c r="A1" s="7" t="s">
        <v>6</v>
      </c>
      <c r="B1" s="7"/>
      <c r="C1" s="7"/>
      <c r="D1" s="7"/>
      <c r="E1" s="7"/>
      <c r="F1" s="7"/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>
        <v>1</v>
      </c>
      <c r="B3" s="3">
        <v>114.7</v>
      </c>
      <c r="C3" s="3">
        <v>113</v>
      </c>
      <c r="D3" s="2">
        <v>1.68</v>
      </c>
      <c r="E3" s="2">
        <v>1.32</v>
      </c>
      <c r="F3" s="2">
        <v>0.36599999999999999</v>
      </c>
    </row>
    <row r="4" spans="1:6" x14ac:dyDescent="0.3">
      <c r="A4" s="2">
        <v>2</v>
      </c>
      <c r="B4" s="3">
        <v>104.7</v>
      </c>
      <c r="C4" s="3">
        <v>99</v>
      </c>
      <c r="D4" s="2">
        <v>5.69</v>
      </c>
      <c r="E4" s="2">
        <v>1.25</v>
      </c>
      <c r="F4" s="2">
        <v>0.32</v>
      </c>
    </row>
    <row r="5" spans="1:6" x14ac:dyDescent="0.3">
      <c r="A5" s="2">
        <v>3</v>
      </c>
      <c r="B5" s="3">
        <v>105.7</v>
      </c>
      <c r="C5" s="3">
        <v>104</v>
      </c>
      <c r="D5" s="2">
        <v>1.7</v>
      </c>
      <c r="E5" s="2">
        <v>1.28</v>
      </c>
      <c r="F5" s="2">
        <v>0.36399999999999999</v>
      </c>
    </row>
    <row r="6" spans="1:6" x14ac:dyDescent="0.3">
      <c r="A6" s="2">
        <v>4</v>
      </c>
      <c r="B6" s="3">
        <v>150.4</v>
      </c>
      <c r="C6" s="3">
        <v>112</v>
      </c>
      <c r="D6" s="2">
        <v>6.62</v>
      </c>
      <c r="E6" s="2">
        <v>1.29</v>
      </c>
      <c r="F6" s="2">
        <v>0.36399999999999999</v>
      </c>
    </row>
    <row r="7" spans="1:6" x14ac:dyDescent="0.3">
      <c r="A7" s="2">
        <v>5</v>
      </c>
      <c r="B7" s="3">
        <v>108.4</v>
      </c>
      <c r="C7" s="3">
        <v>109</v>
      </c>
      <c r="D7" s="2">
        <v>0.56000000000000005</v>
      </c>
      <c r="E7" s="2">
        <v>1.32</v>
      </c>
      <c r="F7" s="2">
        <v>0.38100000000000001</v>
      </c>
    </row>
    <row r="8" spans="1:6" x14ac:dyDescent="0.3">
      <c r="A8" s="2">
        <v>6</v>
      </c>
      <c r="B8" s="3">
        <v>98.1</v>
      </c>
      <c r="C8" s="3">
        <v>111</v>
      </c>
      <c r="D8" s="2">
        <v>12.86</v>
      </c>
      <c r="E8" s="2">
        <v>1.47</v>
      </c>
      <c r="F8" s="2">
        <v>0.44800000000000001</v>
      </c>
    </row>
    <row r="9" spans="1:6" x14ac:dyDescent="0.3">
      <c r="A9" s="2">
        <v>7</v>
      </c>
      <c r="B9" s="3">
        <v>108.5</v>
      </c>
      <c r="C9" s="3">
        <v>106</v>
      </c>
      <c r="D9" s="2">
        <v>2.4700000000000002</v>
      </c>
      <c r="E9" s="2">
        <v>1.33</v>
      </c>
      <c r="F9" s="2">
        <v>0.35199999999999998</v>
      </c>
    </row>
    <row r="10" spans="1:6" x14ac:dyDescent="0.3">
      <c r="A10" s="2">
        <v>8</v>
      </c>
      <c r="B10" s="3">
        <v>109</v>
      </c>
      <c r="C10" s="3">
        <v>95</v>
      </c>
      <c r="D10" s="2">
        <v>13.97</v>
      </c>
      <c r="E10" s="2">
        <v>1.32</v>
      </c>
      <c r="F10" s="2">
        <v>0.36099999999999999</v>
      </c>
    </row>
    <row r="11" spans="1:6" x14ac:dyDescent="0.3">
      <c r="A11" s="2">
        <v>9</v>
      </c>
      <c r="B11" s="3">
        <v>102.8</v>
      </c>
      <c r="C11" s="3">
        <v>111</v>
      </c>
      <c r="D11" s="2">
        <v>8.2200000000000006</v>
      </c>
      <c r="E11" s="2">
        <v>1.42</v>
      </c>
      <c r="F11" s="2">
        <v>0.41799999999999998</v>
      </c>
    </row>
    <row r="12" spans="1:6" x14ac:dyDescent="0.3">
      <c r="A12" s="2">
        <v>10</v>
      </c>
      <c r="B12" s="3">
        <v>106.2</v>
      </c>
      <c r="C12" s="3">
        <v>102</v>
      </c>
      <c r="D12" s="2">
        <v>4.5199999999999996</v>
      </c>
      <c r="E12" s="2">
        <v>1.36</v>
      </c>
      <c r="F12" s="2">
        <v>0.41299999999999998</v>
      </c>
    </row>
    <row r="13" spans="1:6" x14ac:dyDescent="0.3">
      <c r="A13" s="4"/>
      <c r="B13" s="4"/>
      <c r="C13" s="4"/>
      <c r="D13" s="6">
        <f>AVERAGE(D3:D12)</f>
        <v>5.8289999999999988</v>
      </c>
      <c r="E13" s="6">
        <f>AVERAGE(E3:E12)</f>
        <v>1.3360000000000001</v>
      </c>
      <c r="F13" s="6">
        <f>AVERAGE(F3:F12)</f>
        <v>0.37869999999999993</v>
      </c>
    </row>
    <row r="14" spans="1:6" x14ac:dyDescent="0.3">
      <c r="A14" s="4"/>
      <c r="B14" s="4"/>
      <c r="C14" s="4"/>
      <c r="D14" s="4"/>
      <c r="E14" s="4"/>
      <c r="F14" s="4"/>
    </row>
    <row r="15" spans="1:6" x14ac:dyDescent="0.3">
      <c r="A15" s="7" t="s">
        <v>7</v>
      </c>
      <c r="B15" s="7"/>
      <c r="C15" s="7"/>
      <c r="D15" s="7"/>
      <c r="E15" s="7"/>
      <c r="F15" s="7"/>
    </row>
    <row r="16" spans="1:6" x14ac:dyDescent="0.3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</row>
    <row r="17" spans="1:6" x14ac:dyDescent="0.3">
      <c r="A17" s="2">
        <v>1</v>
      </c>
      <c r="B17" s="3">
        <v>20.5</v>
      </c>
      <c r="C17" s="2">
        <v>20</v>
      </c>
      <c r="D17" s="2">
        <v>0.49</v>
      </c>
      <c r="E17" s="2">
        <v>1.0900000000000001</v>
      </c>
      <c r="F17" s="2">
        <v>0.17399999999999999</v>
      </c>
    </row>
    <row r="18" spans="1:6" x14ac:dyDescent="0.3">
      <c r="A18" s="2">
        <v>2</v>
      </c>
      <c r="B18" s="3">
        <v>19.100000000000001</v>
      </c>
      <c r="C18" s="2">
        <v>20</v>
      </c>
      <c r="D18" s="2">
        <v>0.89</v>
      </c>
      <c r="E18" s="2">
        <v>1.19</v>
      </c>
      <c r="F18" s="2">
        <v>0.25600000000000001</v>
      </c>
    </row>
    <row r="19" spans="1:6" x14ac:dyDescent="0.3">
      <c r="A19" s="2">
        <v>3</v>
      </c>
      <c r="B19" s="3">
        <v>21.8</v>
      </c>
      <c r="C19" s="2">
        <v>20</v>
      </c>
      <c r="D19" s="2">
        <v>1.78</v>
      </c>
      <c r="E19" s="2">
        <v>1.1499999999999999</v>
      </c>
      <c r="F19" s="2">
        <v>0.221</v>
      </c>
    </row>
    <row r="20" spans="1:6" x14ac:dyDescent="0.3">
      <c r="A20" s="2">
        <v>4</v>
      </c>
      <c r="B20" s="3">
        <v>21.3</v>
      </c>
      <c r="C20" s="2">
        <v>20</v>
      </c>
      <c r="D20" s="2">
        <v>1.35</v>
      </c>
      <c r="E20" s="2">
        <v>1.1200000000000001</v>
      </c>
      <c r="F20" s="2">
        <v>0.188</v>
      </c>
    </row>
    <row r="21" spans="1:6" x14ac:dyDescent="0.3">
      <c r="A21" s="2">
        <v>5</v>
      </c>
      <c r="B21" s="3">
        <v>20</v>
      </c>
      <c r="C21" s="2">
        <v>20</v>
      </c>
      <c r="D21" s="2">
        <v>0.02</v>
      </c>
      <c r="E21" s="2">
        <v>1.1000000000000001</v>
      </c>
      <c r="F21" s="2">
        <v>0.193</v>
      </c>
    </row>
    <row r="22" spans="1:6" x14ac:dyDescent="0.3">
      <c r="A22" s="2">
        <v>6</v>
      </c>
      <c r="B22" s="3">
        <v>13.9</v>
      </c>
      <c r="C22" s="2">
        <v>20</v>
      </c>
      <c r="D22" s="2">
        <v>6.06</v>
      </c>
      <c r="E22" s="2">
        <v>1.1200000000000001</v>
      </c>
      <c r="F22" s="2">
        <v>0.20399999999999999</v>
      </c>
    </row>
    <row r="23" spans="1:6" x14ac:dyDescent="0.3">
      <c r="A23" s="2">
        <v>7</v>
      </c>
      <c r="B23" s="3">
        <v>19.100000000000001</v>
      </c>
      <c r="C23" s="2">
        <v>20</v>
      </c>
      <c r="D23" s="2">
        <v>0.87</v>
      </c>
      <c r="E23" s="2">
        <v>1.1299999999999999</v>
      </c>
      <c r="F23" s="2">
        <v>0.20799999999999999</v>
      </c>
    </row>
    <row r="24" spans="1:6" x14ac:dyDescent="0.3">
      <c r="A24" s="2">
        <v>8</v>
      </c>
      <c r="B24" s="3">
        <v>19.3</v>
      </c>
      <c r="C24" s="2">
        <v>19</v>
      </c>
      <c r="D24" s="2">
        <v>0.28999999999999998</v>
      </c>
      <c r="E24" s="2">
        <v>1.1299999999999999</v>
      </c>
      <c r="F24" s="2">
        <v>0.221</v>
      </c>
    </row>
    <row r="25" spans="1:6" x14ac:dyDescent="0.3">
      <c r="A25" s="2">
        <v>9</v>
      </c>
      <c r="B25" s="3">
        <v>19.2</v>
      </c>
      <c r="C25" s="2">
        <v>19</v>
      </c>
      <c r="D25" s="2">
        <v>0.21</v>
      </c>
      <c r="E25" s="2">
        <v>1.1100000000000001</v>
      </c>
      <c r="F25" s="2">
        <v>0.193</v>
      </c>
    </row>
    <row r="26" spans="1:6" x14ac:dyDescent="0.3">
      <c r="A26" s="2">
        <v>10</v>
      </c>
      <c r="B26" s="3">
        <v>19.5</v>
      </c>
      <c r="C26" s="2">
        <v>20</v>
      </c>
      <c r="D26" s="2">
        <v>0.47</v>
      </c>
      <c r="E26" s="2">
        <v>1.1299999999999999</v>
      </c>
      <c r="F26" s="2">
        <v>0.20899999999999999</v>
      </c>
    </row>
    <row r="27" spans="1:6" x14ac:dyDescent="0.3">
      <c r="A27" s="4"/>
      <c r="B27" s="5"/>
      <c r="C27" s="4"/>
      <c r="D27" s="6">
        <f>AVERAGE(D17:D26)</f>
        <v>1.2429999999999999</v>
      </c>
      <c r="E27" s="6">
        <f>AVERAGE(E17:E26)</f>
        <v>1.127</v>
      </c>
      <c r="F27" s="6">
        <f>AVERAGE(F17:F26)</f>
        <v>0.20670000000000002</v>
      </c>
    </row>
    <row r="28" spans="1:6" x14ac:dyDescent="0.3">
      <c r="A28" s="4"/>
      <c r="B28" s="4"/>
      <c r="C28" s="4"/>
      <c r="D28" s="4"/>
      <c r="E28" s="4"/>
      <c r="F28" s="4"/>
    </row>
    <row r="29" spans="1:6" x14ac:dyDescent="0.3">
      <c r="A29" s="7" t="s">
        <v>8</v>
      </c>
      <c r="B29" s="7"/>
      <c r="C29" s="7"/>
      <c r="D29" s="7"/>
      <c r="E29" s="7"/>
      <c r="F29" s="7"/>
    </row>
    <row r="30" spans="1:6" x14ac:dyDescent="0.3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</row>
    <row r="31" spans="1:6" x14ac:dyDescent="0.3">
      <c r="A31" s="2">
        <v>1</v>
      </c>
      <c r="B31" s="3">
        <v>27.4</v>
      </c>
      <c r="C31" s="2">
        <v>20</v>
      </c>
      <c r="D31" s="2">
        <v>7.43</v>
      </c>
      <c r="E31" s="2">
        <v>1.64</v>
      </c>
      <c r="F31" s="2">
        <v>0.59799999999999998</v>
      </c>
    </row>
    <row r="32" spans="1:6" x14ac:dyDescent="0.3">
      <c r="A32" s="2">
        <v>2</v>
      </c>
      <c r="B32" s="3">
        <v>17.899999999999999</v>
      </c>
      <c r="C32" s="2">
        <v>21</v>
      </c>
      <c r="D32" s="2">
        <v>3.12</v>
      </c>
      <c r="E32" s="2">
        <v>2.1</v>
      </c>
      <c r="F32" s="2">
        <v>0.63300000000000001</v>
      </c>
    </row>
    <row r="33" spans="1:6" x14ac:dyDescent="0.3">
      <c r="A33" s="2">
        <v>3</v>
      </c>
      <c r="B33" s="3">
        <v>23.1</v>
      </c>
      <c r="C33" s="2">
        <v>21</v>
      </c>
      <c r="D33" s="2">
        <v>2.06</v>
      </c>
      <c r="E33" s="2">
        <v>1.92</v>
      </c>
      <c r="F33" s="2">
        <v>0.51400000000000001</v>
      </c>
    </row>
    <row r="34" spans="1:6" x14ac:dyDescent="0.3">
      <c r="A34" s="2">
        <v>4</v>
      </c>
      <c r="B34" s="3">
        <v>20.5</v>
      </c>
      <c r="C34" s="2">
        <v>19</v>
      </c>
      <c r="D34" s="2">
        <v>1.5</v>
      </c>
      <c r="E34" s="2">
        <v>1.69</v>
      </c>
      <c r="F34" s="2">
        <v>0.61</v>
      </c>
    </row>
    <row r="35" spans="1:6" x14ac:dyDescent="0.3">
      <c r="A35" s="2">
        <v>5</v>
      </c>
      <c r="B35" s="3">
        <v>17.5</v>
      </c>
      <c r="C35" s="2">
        <v>20</v>
      </c>
      <c r="D35" s="2">
        <v>2.5099999999999998</v>
      </c>
      <c r="E35" s="2">
        <v>2.0699999999999998</v>
      </c>
      <c r="F35" s="2">
        <v>0.56499999999999995</v>
      </c>
    </row>
    <row r="36" spans="1:6" x14ac:dyDescent="0.3">
      <c r="A36" s="2">
        <v>6</v>
      </c>
      <c r="B36" s="3">
        <v>18.399999999999999</v>
      </c>
      <c r="C36" s="2">
        <v>20</v>
      </c>
      <c r="D36" s="2">
        <v>1.57</v>
      </c>
      <c r="E36" s="2">
        <v>1.7</v>
      </c>
      <c r="F36" s="2">
        <v>0.49199999999999999</v>
      </c>
    </row>
    <row r="37" spans="1:6" x14ac:dyDescent="0.3">
      <c r="A37" s="2">
        <v>7</v>
      </c>
      <c r="B37" s="3">
        <v>26</v>
      </c>
      <c r="C37" s="2">
        <v>21</v>
      </c>
      <c r="D37" s="2">
        <v>4.99</v>
      </c>
      <c r="E37" s="2">
        <v>1.66</v>
      </c>
      <c r="F37" s="2">
        <v>0.46400000000000002</v>
      </c>
    </row>
    <row r="38" spans="1:6" x14ac:dyDescent="0.3">
      <c r="A38" s="2">
        <v>8</v>
      </c>
      <c r="B38" s="3">
        <v>15.9</v>
      </c>
      <c r="C38" s="2">
        <v>21</v>
      </c>
      <c r="D38" s="2">
        <v>5.05</v>
      </c>
      <c r="E38" s="2">
        <v>1.81</v>
      </c>
      <c r="F38" s="2">
        <v>0.61299999999999999</v>
      </c>
    </row>
    <row r="39" spans="1:6" x14ac:dyDescent="0.3">
      <c r="A39" s="2">
        <v>9</v>
      </c>
      <c r="B39" s="3">
        <v>23.2</v>
      </c>
      <c r="C39" s="2">
        <v>21</v>
      </c>
      <c r="D39" s="2">
        <v>2.21</v>
      </c>
      <c r="E39" s="2">
        <v>1.98</v>
      </c>
      <c r="F39" s="2">
        <v>0.39700000000000002</v>
      </c>
    </row>
    <row r="40" spans="1:6" x14ac:dyDescent="0.3">
      <c r="A40" s="2">
        <v>10</v>
      </c>
      <c r="B40" s="3">
        <v>17.600000000000001</v>
      </c>
      <c r="C40" s="2">
        <v>21</v>
      </c>
      <c r="D40" s="2">
        <v>3.39</v>
      </c>
      <c r="E40" s="2">
        <v>2.2400000000000002</v>
      </c>
      <c r="F40" s="2">
        <v>0.58799999999999997</v>
      </c>
    </row>
    <row r="41" spans="1:6" x14ac:dyDescent="0.3">
      <c r="A41" s="4"/>
      <c r="B41" s="5"/>
      <c r="C41" s="4"/>
      <c r="D41" s="6">
        <f>AVERAGE(D31:D40)</f>
        <v>3.383</v>
      </c>
      <c r="E41" s="6">
        <f>AVERAGE(E31:E40)</f>
        <v>1.8810000000000002</v>
      </c>
      <c r="F41" s="6">
        <f>AVERAGE(F31:F40)</f>
        <v>0.5474</v>
      </c>
    </row>
    <row r="42" spans="1:6" x14ac:dyDescent="0.3">
      <c r="A42" s="4"/>
      <c r="B42" s="4"/>
      <c r="C42" s="4"/>
      <c r="D42" s="4"/>
      <c r="E42" s="4"/>
      <c r="F42" s="4"/>
    </row>
    <row r="43" spans="1:6" x14ac:dyDescent="0.3">
      <c r="A43" s="7" t="s">
        <v>9</v>
      </c>
      <c r="B43" s="7"/>
      <c r="C43" s="7"/>
      <c r="D43" s="7"/>
      <c r="E43" s="7"/>
      <c r="F43" s="7"/>
    </row>
    <row r="44" spans="1:6" x14ac:dyDescent="0.3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</row>
    <row r="45" spans="1:6" x14ac:dyDescent="0.3">
      <c r="A45" s="2">
        <v>1</v>
      </c>
      <c r="B45" s="3">
        <v>28.3</v>
      </c>
      <c r="C45" s="2">
        <v>21</v>
      </c>
      <c r="D45" s="2">
        <v>7.3</v>
      </c>
      <c r="E45" s="2">
        <v>1.69</v>
      </c>
      <c r="F45" s="2">
        <v>0.63100000000000001</v>
      </c>
    </row>
    <row r="46" spans="1:6" x14ac:dyDescent="0.3">
      <c r="A46" s="2">
        <v>2</v>
      </c>
      <c r="B46" s="3">
        <v>14.1</v>
      </c>
      <c r="C46" s="2">
        <v>19</v>
      </c>
      <c r="D46" s="2">
        <v>4.9400000000000004</v>
      </c>
      <c r="E46" s="2">
        <v>2.21</v>
      </c>
      <c r="F46" s="2">
        <v>0.81899999999999995</v>
      </c>
    </row>
    <row r="47" spans="1:6" x14ac:dyDescent="0.3">
      <c r="A47" s="2">
        <v>3</v>
      </c>
      <c r="B47" s="3">
        <v>19.899999999999999</v>
      </c>
      <c r="C47" s="2">
        <v>21</v>
      </c>
      <c r="D47" s="2">
        <v>1.1399999999999999</v>
      </c>
      <c r="E47" s="2">
        <v>1.61</v>
      </c>
      <c r="F47" s="2">
        <v>0.60299999999999998</v>
      </c>
    </row>
    <row r="48" spans="1:6" x14ac:dyDescent="0.3">
      <c r="A48" s="2">
        <v>4</v>
      </c>
      <c r="B48" s="3">
        <v>25</v>
      </c>
      <c r="C48" s="2">
        <v>20</v>
      </c>
      <c r="D48" s="2">
        <v>4.97</v>
      </c>
      <c r="E48" s="2">
        <v>1.54</v>
      </c>
      <c r="F48" s="2">
        <v>0.53</v>
      </c>
    </row>
    <row r="49" spans="1:6" x14ac:dyDescent="0.3">
      <c r="A49" s="2">
        <v>5</v>
      </c>
      <c r="B49" s="3">
        <v>21</v>
      </c>
      <c r="C49" s="2">
        <v>20</v>
      </c>
      <c r="D49" s="2">
        <v>1.01</v>
      </c>
      <c r="E49" s="2">
        <v>2.15</v>
      </c>
      <c r="F49" s="2">
        <v>0.60299999999999998</v>
      </c>
    </row>
    <row r="50" spans="1:6" x14ac:dyDescent="0.3">
      <c r="A50" s="2">
        <v>6</v>
      </c>
      <c r="B50" s="3">
        <v>17.600000000000001</v>
      </c>
      <c r="C50" s="2">
        <v>20</v>
      </c>
      <c r="D50" s="2">
        <v>2.35</v>
      </c>
      <c r="E50" s="2">
        <v>1.65</v>
      </c>
      <c r="F50" s="2">
        <v>0.55000000000000004</v>
      </c>
    </row>
    <row r="51" spans="1:6" x14ac:dyDescent="0.3">
      <c r="A51" s="2">
        <v>7</v>
      </c>
      <c r="B51" s="3">
        <v>24.9</v>
      </c>
      <c r="C51" s="2">
        <v>20</v>
      </c>
      <c r="D51" s="2">
        <v>4.93</v>
      </c>
      <c r="E51" s="2">
        <v>1.72</v>
      </c>
      <c r="F51" s="2">
        <v>0.56200000000000006</v>
      </c>
    </row>
    <row r="52" spans="1:6" x14ac:dyDescent="0.3">
      <c r="A52" s="2">
        <v>8</v>
      </c>
      <c r="B52" s="3">
        <v>15.7</v>
      </c>
      <c r="C52" s="2">
        <v>21</v>
      </c>
      <c r="D52" s="2">
        <v>5.28</v>
      </c>
      <c r="E52" s="2">
        <v>2.12</v>
      </c>
      <c r="F52" s="2">
        <v>0.61199999999999999</v>
      </c>
    </row>
    <row r="53" spans="1:6" x14ac:dyDescent="0.3">
      <c r="A53" s="2">
        <v>9</v>
      </c>
      <c r="B53" s="3">
        <v>27.8</v>
      </c>
      <c r="C53" s="2">
        <v>21</v>
      </c>
      <c r="D53" s="2">
        <v>6.77</v>
      </c>
      <c r="E53" s="2">
        <v>1.63</v>
      </c>
      <c r="F53" s="2">
        <v>0.63600000000000001</v>
      </c>
    </row>
    <row r="54" spans="1:6" x14ac:dyDescent="0.3">
      <c r="A54" s="2">
        <v>10</v>
      </c>
      <c r="B54" s="3">
        <v>15.3</v>
      </c>
      <c r="C54" s="2">
        <v>20</v>
      </c>
      <c r="D54" s="2">
        <v>4.74</v>
      </c>
      <c r="E54" s="2">
        <v>2.2000000000000002</v>
      </c>
      <c r="F54" s="2">
        <v>0.72599999999999998</v>
      </c>
    </row>
    <row r="55" spans="1:6" x14ac:dyDescent="0.3">
      <c r="A55" s="4"/>
      <c r="B55" s="5"/>
      <c r="C55" s="4"/>
      <c r="D55" s="6">
        <f>AVERAGE(D45:D54)</f>
        <v>4.3430000000000009</v>
      </c>
      <c r="E55" s="6">
        <f>AVERAGE(E45:E54)</f>
        <v>1.8519999999999999</v>
      </c>
      <c r="F55" s="6">
        <f>AVERAGE(F45:F54)</f>
        <v>0.62719999999999998</v>
      </c>
    </row>
    <row r="56" spans="1:6" x14ac:dyDescent="0.3">
      <c r="A56" s="4"/>
      <c r="B56" s="4"/>
      <c r="C56" s="4"/>
      <c r="D56" s="4"/>
      <c r="E56" s="4"/>
      <c r="F56" s="4"/>
    </row>
    <row r="57" spans="1:6" x14ac:dyDescent="0.3">
      <c r="A57" s="7" t="s">
        <v>10</v>
      </c>
      <c r="B57" s="7"/>
      <c r="C57" s="7"/>
      <c r="D57" s="7"/>
      <c r="E57" s="7"/>
      <c r="F57" s="7"/>
    </row>
    <row r="58" spans="1:6" x14ac:dyDescent="0.3">
      <c r="A58" s="1" t="s">
        <v>0</v>
      </c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</row>
    <row r="59" spans="1:6" x14ac:dyDescent="0.3">
      <c r="A59" s="2">
        <v>1</v>
      </c>
      <c r="B59" s="3">
        <v>20.3</v>
      </c>
      <c r="C59" s="2">
        <v>20</v>
      </c>
      <c r="D59" s="2">
        <v>0.33</v>
      </c>
      <c r="E59" s="2">
        <v>1.67</v>
      </c>
      <c r="F59" s="2">
        <v>0.59399999999999997</v>
      </c>
    </row>
    <row r="60" spans="1:6" x14ac:dyDescent="0.3">
      <c r="A60" s="2">
        <v>2</v>
      </c>
      <c r="B60" s="3">
        <v>18.7</v>
      </c>
      <c r="C60" s="2">
        <v>22</v>
      </c>
      <c r="D60" s="2">
        <v>3.28</v>
      </c>
      <c r="E60" s="2">
        <v>1.66</v>
      </c>
      <c r="F60" s="2">
        <v>0.58599999999999997</v>
      </c>
    </row>
    <row r="61" spans="1:6" x14ac:dyDescent="0.3">
      <c r="A61" s="2">
        <v>3</v>
      </c>
      <c r="B61" s="3">
        <v>21.8</v>
      </c>
      <c r="C61" s="2">
        <v>21</v>
      </c>
      <c r="D61" s="2">
        <v>0.82</v>
      </c>
      <c r="E61" s="2">
        <v>1.6</v>
      </c>
      <c r="F61" s="2">
        <v>0.55000000000000004</v>
      </c>
    </row>
    <row r="62" spans="1:6" x14ac:dyDescent="0.3">
      <c r="A62" s="2">
        <v>4</v>
      </c>
      <c r="B62" s="3">
        <v>20.6</v>
      </c>
      <c r="C62" s="2">
        <v>21</v>
      </c>
      <c r="D62" s="2">
        <v>0.41</v>
      </c>
      <c r="E62" s="2">
        <v>1.73</v>
      </c>
      <c r="F62" s="2">
        <v>0.56200000000000006</v>
      </c>
    </row>
    <row r="63" spans="1:6" x14ac:dyDescent="0.3">
      <c r="A63" s="2">
        <v>5</v>
      </c>
      <c r="B63" s="3">
        <v>17.3</v>
      </c>
      <c r="C63" s="2">
        <v>20</v>
      </c>
      <c r="D63" s="2">
        <v>2.75</v>
      </c>
      <c r="E63" s="2">
        <v>1.74</v>
      </c>
      <c r="F63" s="2">
        <v>0.64700000000000002</v>
      </c>
    </row>
    <row r="64" spans="1:6" x14ac:dyDescent="0.3">
      <c r="A64" s="2">
        <v>6</v>
      </c>
      <c r="B64" s="3">
        <v>21.3</v>
      </c>
      <c r="C64" s="2">
        <v>21</v>
      </c>
      <c r="D64" s="2">
        <v>0.34</v>
      </c>
      <c r="E64" s="2">
        <v>1.69</v>
      </c>
      <c r="F64" s="2">
        <v>0.50800000000000001</v>
      </c>
    </row>
    <row r="65" spans="1:6" x14ac:dyDescent="0.3">
      <c r="A65" s="2">
        <v>7</v>
      </c>
      <c r="B65" s="3">
        <v>19.600000000000001</v>
      </c>
      <c r="C65" s="2">
        <v>19</v>
      </c>
      <c r="D65" s="2">
        <v>0.6</v>
      </c>
      <c r="E65" s="2">
        <v>1.69</v>
      </c>
      <c r="F65" s="2">
        <v>0.51900000000000002</v>
      </c>
    </row>
    <row r="66" spans="1:6" x14ac:dyDescent="0.3">
      <c r="A66" s="2">
        <v>8</v>
      </c>
      <c r="B66" s="3">
        <v>22</v>
      </c>
      <c r="C66" s="2">
        <v>20</v>
      </c>
      <c r="D66" s="2">
        <v>2.04</v>
      </c>
      <c r="E66" s="2">
        <v>1.69</v>
      </c>
      <c r="F66" s="2">
        <v>0.60199999999999998</v>
      </c>
    </row>
    <row r="67" spans="1:6" x14ac:dyDescent="0.3">
      <c r="A67" s="2">
        <v>9</v>
      </c>
      <c r="B67" s="3">
        <v>20.6</v>
      </c>
      <c r="C67" s="2">
        <v>20</v>
      </c>
      <c r="D67" s="2">
        <v>0.56000000000000005</v>
      </c>
      <c r="E67" s="2">
        <v>1.68</v>
      </c>
      <c r="F67" s="2">
        <v>0.53700000000000003</v>
      </c>
    </row>
    <row r="68" spans="1:6" x14ac:dyDescent="0.3">
      <c r="A68" s="2">
        <v>10</v>
      </c>
      <c r="B68" s="3">
        <v>20.100000000000001</v>
      </c>
      <c r="C68" s="2">
        <v>20</v>
      </c>
      <c r="D68" s="2">
        <v>0.08</v>
      </c>
      <c r="E68" s="2">
        <v>1.65</v>
      </c>
      <c r="F68" s="2">
        <v>0.51700000000000002</v>
      </c>
    </row>
    <row r="69" spans="1:6" x14ac:dyDescent="0.3">
      <c r="A69" s="4"/>
      <c r="B69" s="4"/>
      <c r="C69" s="4"/>
      <c r="D69" s="6">
        <f>AVERAGE(D59:D68)</f>
        <v>1.121</v>
      </c>
      <c r="E69" s="6">
        <f>AVERAGE(E59:E68)</f>
        <v>1.6799999999999997</v>
      </c>
      <c r="F69" s="6">
        <f>AVERAGE(F59:F68)</f>
        <v>0.56220000000000003</v>
      </c>
    </row>
    <row r="71" spans="1:6" x14ac:dyDescent="0.3">
      <c r="A71" s="7" t="s">
        <v>11</v>
      </c>
      <c r="B71" s="7"/>
      <c r="C71" s="7"/>
      <c r="D71" s="7"/>
      <c r="E71" s="7"/>
      <c r="F71" s="7"/>
    </row>
    <row r="72" spans="1:6" x14ac:dyDescent="0.3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</row>
    <row r="73" spans="1:6" x14ac:dyDescent="0.3">
      <c r="A73" s="2">
        <v>1</v>
      </c>
      <c r="B73" s="3">
        <v>166.7</v>
      </c>
      <c r="C73" s="3">
        <v>165</v>
      </c>
      <c r="D73" s="2">
        <v>1.66</v>
      </c>
      <c r="E73" s="2">
        <v>1.22</v>
      </c>
      <c r="F73" s="2">
        <v>0.21199999999999999</v>
      </c>
    </row>
    <row r="74" spans="1:6" x14ac:dyDescent="0.3">
      <c r="A74" s="2">
        <v>2</v>
      </c>
      <c r="B74" s="3">
        <v>173</v>
      </c>
      <c r="C74" s="3">
        <v>158</v>
      </c>
      <c r="D74" s="2">
        <v>15</v>
      </c>
      <c r="E74" s="2">
        <v>1.19</v>
      </c>
      <c r="F74" s="2">
        <v>0.20899999999999999</v>
      </c>
    </row>
    <row r="75" spans="1:6" x14ac:dyDescent="0.3">
      <c r="A75" s="2">
        <v>3</v>
      </c>
      <c r="B75" s="3">
        <v>165</v>
      </c>
      <c r="C75" s="3">
        <v>174</v>
      </c>
      <c r="D75" s="2">
        <v>9</v>
      </c>
      <c r="E75" s="2">
        <v>1.23</v>
      </c>
      <c r="F75" s="2">
        <v>0.13600000000000001</v>
      </c>
    </row>
    <row r="76" spans="1:6" x14ac:dyDescent="0.3">
      <c r="A76" s="2">
        <v>4</v>
      </c>
      <c r="B76" s="3">
        <v>171</v>
      </c>
      <c r="C76" s="3">
        <v>163</v>
      </c>
      <c r="D76" s="2">
        <v>8.0500000000000007</v>
      </c>
      <c r="E76" s="2">
        <v>1.3</v>
      </c>
      <c r="F76" s="2">
        <v>0.19900000000000001</v>
      </c>
    </row>
    <row r="77" spans="1:6" x14ac:dyDescent="0.3">
      <c r="A77" s="2">
        <v>5</v>
      </c>
      <c r="B77" s="3">
        <v>152.6</v>
      </c>
      <c r="C77" s="3">
        <v>157</v>
      </c>
      <c r="D77" s="2">
        <v>4.3600000000000003</v>
      </c>
      <c r="E77" s="2">
        <v>1.35</v>
      </c>
      <c r="F77" s="2">
        <v>0.182</v>
      </c>
    </row>
    <row r="78" spans="1:6" x14ac:dyDescent="0.3">
      <c r="A78" s="2">
        <v>6</v>
      </c>
      <c r="B78" s="3">
        <v>164.8</v>
      </c>
      <c r="C78" s="3">
        <v>172</v>
      </c>
      <c r="D78" s="2">
        <v>7.18</v>
      </c>
      <c r="E78" s="2">
        <v>1.43</v>
      </c>
      <c r="F78" s="2">
        <v>0.32100000000000001</v>
      </c>
    </row>
    <row r="79" spans="1:6" x14ac:dyDescent="0.3">
      <c r="A79" s="2">
        <v>7</v>
      </c>
      <c r="B79" s="3">
        <v>165.7</v>
      </c>
      <c r="C79" s="3">
        <v>149</v>
      </c>
      <c r="D79" s="2">
        <v>16.73</v>
      </c>
      <c r="E79" s="2">
        <v>1.3</v>
      </c>
      <c r="F79" s="2">
        <v>0.17699999999999999</v>
      </c>
    </row>
    <row r="80" spans="1:6" x14ac:dyDescent="0.3">
      <c r="A80" s="2">
        <v>8</v>
      </c>
      <c r="B80" s="3">
        <v>155.80000000000001</v>
      </c>
      <c r="C80" s="3">
        <v>166</v>
      </c>
      <c r="D80" s="2">
        <v>10.23</v>
      </c>
      <c r="E80" s="2">
        <v>1.24</v>
      </c>
      <c r="F80" s="2">
        <v>0.251</v>
      </c>
    </row>
    <row r="81" spans="1:6" x14ac:dyDescent="0.3">
      <c r="A81" s="2">
        <v>9</v>
      </c>
      <c r="B81" s="3">
        <v>167.7</v>
      </c>
      <c r="C81" s="3">
        <v>174</v>
      </c>
      <c r="D81" s="2">
        <v>6.34</v>
      </c>
      <c r="E81" s="2">
        <v>1.34</v>
      </c>
      <c r="F81" s="2">
        <v>0.215</v>
      </c>
    </row>
    <row r="82" spans="1:6" x14ac:dyDescent="0.3">
      <c r="A82" s="2">
        <v>10</v>
      </c>
      <c r="B82" s="3">
        <v>161.19999999999999</v>
      </c>
      <c r="C82" s="3">
        <v>172</v>
      </c>
      <c r="D82" s="2">
        <v>10.77</v>
      </c>
      <c r="E82" s="2">
        <v>1.34</v>
      </c>
      <c r="F82" s="2">
        <v>0.22500000000000001</v>
      </c>
    </row>
    <row r="83" spans="1:6" x14ac:dyDescent="0.3">
      <c r="A83" s="4"/>
      <c r="B83" s="4"/>
      <c r="C83" s="4"/>
      <c r="D83" s="6">
        <f>AVERAGE(D73:D82)</f>
        <v>8.9320000000000004</v>
      </c>
      <c r="E83" s="6">
        <f>AVERAGE(E73:E82)</f>
        <v>1.294</v>
      </c>
      <c r="F83" s="6">
        <f>AVERAGE(F73:F82)</f>
        <v>0.21269999999999997</v>
      </c>
    </row>
  </sheetData>
  <mergeCells count="6">
    <mergeCell ref="A71:F71"/>
    <mergeCell ref="A1:F1"/>
    <mergeCell ref="A15:F15"/>
    <mergeCell ref="A29:F29"/>
    <mergeCell ref="A43:F43"/>
    <mergeCell ref="A57:F5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2025-12-29T10:15:21Z</dcterms:created>
  <dcterms:modified xsi:type="dcterms:W3CDTF">2025-12-29T11:25:08Z</dcterms:modified>
</cp:coreProperties>
</file>