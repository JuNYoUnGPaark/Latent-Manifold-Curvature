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"/>
    </mc:Choice>
  </mc:AlternateContent>
  <xr:revisionPtr revIDLastSave="39" documentId="8_{5B313032-D9F9-40B0-994A-E382CE828255}" xr6:coauthVersionLast="47" xr6:coauthVersionMax="47" xr10:uidLastSave="{3381EFE1-8D62-492A-971C-AA62961D71D4}"/>
  <bookViews>
    <workbookView xWindow="-21375" yWindow="-525" windowWidth="21105" windowHeight="16935" xr2:uid="{14B0F8AC-2ACA-46E0-9B0B-398D793BB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1" l="1"/>
  <c r="F57" i="1"/>
  <c r="M171" i="1"/>
  <c r="L171" i="1"/>
  <c r="K171" i="1"/>
  <c r="F171" i="1"/>
  <c r="E171" i="1"/>
  <c r="D171" i="1"/>
  <c r="M157" i="1"/>
  <c r="L157" i="1"/>
  <c r="K157" i="1"/>
  <c r="F157" i="1"/>
  <c r="E157" i="1"/>
  <c r="D157" i="1"/>
  <c r="M143" i="1"/>
  <c r="L143" i="1"/>
  <c r="K143" i="1"/>
  <c r="F143" i="1"/>
  <c r="E143" i="1"/>
  <c r="D143" i="1"/>
  <c r="M129" i="1"/>
  <c r="L129" i="1"/>
  <c r="K129" i="1"/>
  <c r="F129" i="1"/>
  <c r="E129" i="1"/>
  <c r="D129" i="1"/>
  <c r="M115" i="1"/>
  <c r="L115" i="1"/>
  <c r="K115" i="1"/>
  <c r="F115" i="1"/>
  <c r="E115" i="1"/>
  <c r="D115" i="1"/>
  <c r="M101" i="1"/>
  <c r="L101" i="1"/>
  <c r="K101" i="1"/>
  <c r="E101" i="1"/>
  <c r="D101" i="1"/>
  <c r="M85" i="1"/>
  <c r="L85" i="1"/>
  <c r="K85" i="1"/>
  <c r="F85" i="1"/>
  <c r="E85" i="1"/>
  <c r="D85" i="1"/>
  <c r="M71" i="1"/>
  <c r="L71" i="1"/>
  <c r="K71" i="1"/>
  <c r="F71" i="1"/>
  <c r="E71" i="1"/>
  <c r="D71" i="1"/>
  <c r="M43" i="1"/>
  <c r="L43" i="1"/>
  <c r="K43" i="1"/>
  <c r="F43" i="1"/>
  <c r="E43" i="1"/>
  <c r="D43" i="1"/>
  <c r="M57" i="1"/>
  <c r="L57" i="1"/>
  <c r="K57" i="1"/>
  <c r="E57" i="1"/>
  <c r="D57" i="1"/>
  <c r="M29" i="1"/>
  <c r="L29" i="1"/>
  <c r="K29" i="1"/>
  <c r="F29" i="1"/>
  <c r="E29" i="1"/>
  <c r="D29" i="1"/>
  <c r="M15" i="1"/>
  <c r="L15" i="1"/>
  <c r="K15" i="1"/>
  <c r="F15" i="1"/>
  <c r="E15" i="1"/>
  <c r="D15" i="1"/>
</calcChain>
</file>

<file path=xl/sharedStrings.xml><?xml version="1.0" encoding="utf-8"?>
<sst xmlns="http://schemas.openxmlformats.org/spreadsheetml/2006/main" count="171" uniqueCount="21">
  <si>
    <t>Waist bends forward -&gt; Frontal elevation of arms</t>
    <phoneticPr fontId="1" type="noConversion"/>
  </si>
  <si>
    <t>Subject_ID</t>
    <phoneticPr fontId="1" type="noConversion"/>
  </si>
  <si>
    <t>Pred</t>
    <phoneticPr fontId="1" type="noConversion"/>
  </si>
  <si>
    <t>GT</t>
    <phoneticPr fontId="1" type="noConversion"/>
  </si>
  <si>
    <t>MAE</t>
    <phoneticPr fontId="1" type="noConversion"/>
  </si>
  <si>
    <t>k_hat</t>
    <phoneticPr fontId="1" type="noConversion"/>
  </si>
  <si>
    <t>entropy</t>
    <phoneticPr fontId="1" type="noConversion"/>
  </si>
  <si>
    <t>Frontal elevation of arms -&gt; Waist bends forward</t>
    <phoneticPr fontId="1" type="noConversion"/>
  </si>
  <si>
    <t>Waist bends forward -&gt; Knees bending</t>
    <phoneticPr fontId="1" type="noConversion"/>
  </si>
  <si>
    <t>Knees bending -&gt; Waist bends forward</t>
    <phoneticPr fontId="1" type="noConversion"/>
  </si>
  <si>
    <t>Knees bending -&gt; Jump front and back</t>
    <phoneticPr fontId="1" type="noConversion"/>
  </si>
  <si>
    <t>Jump front and back -&gt; Knees bending</t>
    <phoneticPr fontId="1" type="noConversion"/>
  </si>
  <si>
    <t>9-Channel</t>
    <phoneticPr fontId="1" type="noConversion"/>
  </si>
  <si>
    <t>6-Channel</t>
    <phoneticPr fontId="1" type="noConversion"/>
  </si>
  <si>
    <t>Frontal elevation of arms -&gt; Knees bending</t>
    <phoneticPr fontId="1" type="noConversion"/>
  </si>
  <si>
    <t>Knees bending -&gt; Frontal elevation of arms</t>
    <phoneticPr fontId="1" type="noConversion"/>
  </si>
  <si>
    <t>Waist bends forward -&gt; Jump front and back</t>
    <phoneticPr fontId="1" type="noConversion"/>
  </si>
  <si>
    <t>Jump front and back -&gt; Waist bends forward</t>
    <phoneticPr fontId="1" type="noConversion"/>
  </si>
  <si>
    <t>Frontal elevation of arms -&gt; Jump front and back</t>
    <phoneticPr fontId="1" type="noConversion"/>
  </si>
  <si>
    <t>Jump front and back -&gt; Frontal elevation of arms</t>
    <phoneticPr fontId="1" type="noConversion"/>
  </si>
  <si>
    <t>9-Channel + channel dropout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</si>
</sst>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F4B9-FE97-4BE8-86C7-13929F36B092}">
  <dimension ref="A1:N258"/>
  <sheetViews>
    <sheetView tabSelected="1" topLeftCell="A154" workbookViewId="0">
      <selection activeCell="F180" sqref="F180"/>
    </sheetView>
  </sheetViews>
  <sheetFormatPr defaultRowHeight="16.5" x14ac:dyDescent="0.3"/>
  <cols>
    <col min="1" max="6" width="11.625" customWidth="1"/>
    <col min="7" max="7" width="8.625" customWidth="1"/>
    <col min="8" max="13" width="11.625" customWidth="1"/>
  </cols>
  <sheetData>
    <row r="1" spans="1:13" ht="26.25" x14ac:dyDescent="0.3">
      <c r="A1" s="7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3" x14ac:dyDescent="0.3">
      <c r="A3" s="5" t="s">
        <v>0</v>
      </c>
      <c r="B3" s="5"/>
      <c r="C3" s="5"/>
      <c r="D3" s="5"/>
      <c r="E3" s="5"/>
      <c r="H3" s="6" t="s">
        <v>7</v>
      </c>
      <c r="I3" s="6"/>
      <c r="J3" s="6"/>
      <c r="K3" s="6"/>
      <c r="L3" s="6"/>
      <c r="M3" s="6"/>
    </row>
    <row r="4" spans="1:13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H4" s="2" t="s">
        <v>1</v>
      </c>
      <c r="I4" s="2" t="s">
        <v>2</v>
      </c>
      <c r="J4" s="2" t="s">
        <v>3</v>
      </c>
      <c r="K4" s="2" t="s">
        <v>4</v>
      </c>
      <c r="L4" s="2" t="s">
        <v>5</v>
      </c>
      <c r="M4" s="2" t="s">
        <v>6</v>
      </c>
    </row>
    <row r="5" spans="1:13" x14ac:dyDescent="0.3">
      <c r="A5" s="1">
        <v>1</v>
      </c>
      <c r="B5" s="1">
        <v>8.58</v>
      </c>
      <c r="C5" s="1">
        <v>20</v>
      </c>
      <c r="D5" s="1">
        <v>11.42</v>
      </c>
      <c r="E5" s="1">
        <v>1.17</v>
      </c>
      <c r="F5" s="1">
        <v>0.29699999999999999</v>
      </c>
      <c r="H5" s="1">
        <v>1</v>
      </c>
      <c r="I5" s="1">
        <v>21.61</v>
      </c>
      <c r="J5" s="1">
        <v>21</v>
      </c>
      <c r="K5" s="1">
        <v>0.61</v>
      </c>
      <c r="L5" s="1">
        <v>1.01</v>
      </c>
      <c r="M5" s="1">
        <v>4.3999999999999997E-2</v>
      </c>
    </row>
    <row r="6" spans="1:13" x14ac:dyDescent="0.3">
      <c r="A6" s="1">
        <v>2</v>
      </c>
      <c r="B6" s="1">
        <v>9.48</v>
      </c>
      <c r="C6" s="1">
        <v>20</v>
      </c>
      <c r="D6" s="1">
        <v>10.52</v>
      </c>
      <c r="E6" s="1">
        <v>1.1499999999999999</v>
      </c>
      <c r="F6" s="1">
        <v>0.28899999999999998</v>
      </c>
      <c r="H6" s="1">
        <v>2</v>
      </c>
      <c r="I6" s="1">
        <v>20.28</v>
      </c>
      <c r="J6" s="1">
        <v>19</v>
      </c>
      <c r="K6" s="1">
        <v>1.28</v>
      </c>
      <c r="L6" s="1">
        <v>1.03</v>
      </c>
      <c r="M6" s="1">
        <v>6.9000000000000006E-2</v>
      </c>
    </row>
    <row r="7" spans="1:13" x14ac:dyDescent="0.3">
      <c r="A7" s="1">
        <v>3</v>
      </c>
      <c r="B7" s="1">
        <v>10.74</v>
      </c>
      <c r="C7" s="1">
        <v>20</v>
      </c>
      <c r="D7" s="1">
        <v>9.26</v>
      </c>
      <c r="E7" s="1">
        <v>1.1200000000000001</v>
      </c>
      <c r="F7" s="1">
        <v>0.23499999999999999</v>
      </c>
      <c r="H7" s="1">
        <v>3</v>
      </c>
      <c r="I7" s="1">
        <v>32.01</v>
      </c>
      <c r="J7" s="1">
        <v>21</v>
      </c>
      <c r="K7" s="1">
        <v>11.01</v>
      </c>
      <c r="L7" s="1">
        <v>1.02</v>
      </c>
      <c r="M7" s="1">
        <v>5.6000000000000001E-2</v>
      </c>
    </row>
    <row r="8" spans="1:13" x14ac:dyDescent="0.3">
      <c r="A8" s="1">
        <v>4</v>
      </c>
      <c r="B8" s="1">
        <v>11.38</v>
      </c>
      <c r="C8" s="1">
        <v>20</v>
      </c>
      <c r="D8" s="1">
        <v>8.6199999999999992</v>
      </c>
      <c r="E8" s="1">
        <v>1.1299999999999999</v>
      </c>
      <c r="F8" s="1">
        <v>0.249</v>
      </c>
      <c r="H8" s="1">
        <v>4</v>
      </c>
      <c r="I8" s="1">
        <v>32.450000000000003</v>
      </c>
      <c r="J8" s="1">
        <v>20</v>
      </c>
      <c r="K8" s="1">
        <v>12.45</v>
      </c>
      <c r="L8" s="1">
        <v>1.02</v>
      </c>
      <c r="M8" s="1">
        <v>5.5E-2</v>
      </c>
    </row>
    <row r="9" spans="1:13" x14ac:dyDescent="0.3">
      <c r="A9" s="1">
        <v>5</v>
      </c>
      <c r="B9" s="1">
        <v>9.48</v>
      </c>
      <c r="C9" s="1">
        <v>20</v>
      </c>
      <c r="D9" s="1">
        <v>10.52</v>
      </c>
      <c r="E9" s="1">
        <v>1.1299999999999999</v>
      </c>
      <c r="F9" s="1">
        <v>0.246</v>
      </c>
      <c r="H9" s="1">
        <v>5</v>
      </c>
      <c r="I9" s="1">
        <v>19.66</v>
      </c>
      <c r="J9" s="1">
        <v>20</v>
      </c>
      <c r="K9" s="1">
        <v>0.34</v>
      </c>
      <c r="L9" s="1">
        <v>1.02</v>
      </c>
      <c r="M9" s="1">
        <v>5.8999999999999997E-2</v>
      </c>
    </row>
    <row r="10" spans="1:13" x14ac:dyDescent="0.3">
      <c r="A10" s="1">
        <v>6</v>
      </c>
      <c r="B10" s="1">
        <v>5.44</v>
      </c>
      <c r="C10" s="1">
        <v>20</v>
      </c>
      <c r="D10" s="1">
        <v>14.56</v>
      </c>
      <c r="E10" s="1">
        <v>1.1100000000000001</v>
      </c>
      <c r="F10" s="1">
        <v>0.23200000000000001</v>
      </c>
      <c r="H10" s="1">
        <v>6</v>
      </c>
      <c r="I10" s="1">
        <v>19.41</v>
      </c>
      <c r="J10" s="1">
        <v>20</v>
      </c>
      <c r="K10" s="1">
        <v>0.59</v>
      </c>
      <c r="L10" s="1">
        <v>1.03</v>
      </c>
      <c r="M10" s="1">
        <v>7.8E-2</v>
      </c>
    </row>
    <row r="11" spans="1:13" x14ac:dyDescent="0.3">
      <c r="A11" s="1">
        <v>7</v>
      </c>
      <c r="B11" s="1">
        <v>10.130000000000001</v>
      </c>
      <c r="C11" s="1">
        <v>20</v>
      </c>
      <c r="D11" s="1">
        <v>9.8699999999999992</v>
      </c>
      <c r="E11" s="1">
        <v>1.1499999999999999</v>
      </c>
      <c r="F11" s="1">
        <v>0.27500000000000002</v>
      </c>
      <c r="H11" s="1">
        <v>7</v>
      </c>
      <c r="I11" s="1">
        <v>19.239999999999998</v>
      </c>
      <c r="J11" s="1">
        <v>20</v>
      </c>
      <c r="K11" s="1">
        <v>0.76</v>
      </c>
      <c r="L11" s="1">
        <v>1.04</v>
      </c>
      <c r="M11" s="1">
        <v>9.0999999999999998E-2</v>
      </c>
    </row>
    <row r="12" spans="1:13" x14ac:dyDescent="0.3">
      <c r="A12" s="1">
        <v>8</v>
      </c>
      <c r="B12" s="1">
        <v>9.36</v>
      </c>
      <c r="C12" s="1">
        <v>19</v>
      </c>
      <c r="D12" s="1">
        <v>9.64</v>
      </c>
      <c r="E12" s="1">
        <v>1.1399999999999999</v>
      </c>
      <c r="F12" s="1">
        <v>0.26500000000000001</v>
      </c>
      <c r="H12" s="1">
        <v>8</v>
      </c>
      <c r="I12" s="4">
        <v>18</v>
      </c>
      <c r="J12" s="1">
        <v>21</v>
      </c>
      <c r="K12" s="4">
        <v>3</v>
      </c>
      <c r="L12" s="1">
        <v>1.02</v>
      </c>
      <c r="M12" s="1">
        <v>6.7000000000000004E-2</v>
      </c>
    </row>
    <row r="13" spans="1:13" x14ac:dyDescent="0.3">
      <c r="A13" s="1">
        <v>9</v>
      </c>
      <c r="B13" s="1">
        <v>8.93</v>
      </c>
      <c r="C13" s="1">
        <v>19</v>
      </c>
      <c r="D13" s="1">
        <v>10.07</v>
      </c>
      <c r="E13" s="1">
        <v>1.1399999999999999</v>
      </c>
      <c r="F13" s="1">
        <v>0.26200000000000001</v>
      </c>
      <c r="H13" s="1">
        <v>9</v>
      </c>
      <c r="I13" s="1">
        <v>17.55</v>
      </c>
      <c r="J13" s="1">
        <v>21</v>
      </c>
      <c r="K13" s="1">
        <v>3.45</v>
      </c>
      <c r="L13" s="1">
        <v>1.02</v>
      </c>
      <c r="M13" s="1">
        <v>6.4000000000000001E-2</v>
      </c>
    </row>
    <row r="14" spans="1:13" x14ac:dyDescent="0.3">
      <c r="A14" s="1">
        <v>10</v>
      </c>
      <c r="B14" s="4">
        <v>11.6</v>
      </c>
      <c r="C14" s="1">
        <v>20</v>
      </c>
      <c r="D14" s="4">
        <v>8.4</v>
      </c>
      <c r="E14" s="1">
        <v>1.1200000000000001</v>
      </c>
      <c r="F14" s="1">
        <v>0.23799999999999999</v>
      </c>
      <c r="H14" s="1">
        <v>10</v>
      </c>
      <c r="I14" s="4">
        <v>14.29</v>
      </c>
      <c r="J14" s="1">
        <v>20</v>
      </c>
      <c r="K14" s="4">
        <v>5.71</v>
      </c>
      <c r="L14" s="1">
        <v>1.05</v>
      </c>
      <c r="M14" s="1">
        <v>0.109</v>
      </c>
    </row>
    <row r="15" spans="1:13" x14ac:dyDescent="0.3">
      <c r="D15" s="3">
        <f>AVERAGE(D5:D14)</f>
        <v>10.288</v>
      </c>
      <c r="E15" s="3">
        <f>AVERAGE(E5:E14)</f>
        <v>1.1360000000000003</v>
      </c>
      <c r="F15" s="3">
        <f>AVERAGE(F5:F14)</f>
        <v>0.25880000000000003</v>
      </c>
      <c r="K15" s="3">
        <f>AVERAGE(K5:K14)</f>
        <v>3.9200000000000004</v>
      </c>
      <c r="L15" s="3">
        <f>AVERAGE(L5:L14)</f>
        <v>1.026</v>
      </c>
      <c r="M15" s="3">
        <f>AVERAGE(M5:M14)</f>
        <v>6.9200000000000012E-2</v>
      </c>
    </row>
    <row r="17" spans="1:14" x14ac:dyDescent="0.3">
      <c r="A17" s="5" t="s">
        <v>8</v>
      </c>
      <c r="B17" s="5"/>
      <c r="C17" s="5"/>
      <c r="D17" s="5"/>
      <c r="E17" s="5"/>
      <c r="H17" s="5" t="s">
        <v>9</v>
      </c>
      <c r="I17" s="5"/>
      <c r="J17" s="5"/>
      <c r="K17" s="5"/>
      <c r="L17" s="5"/>
    </row>
    <row r="18" spans="1:14" x14ac:dyDescent="0.3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H18" s="2" t="s">
        <v>1</v>
      </c>
      <c r="I18" s="2" t="s">
        <v>2</v>
      </c>
      <c r="J18" s="2" t="s">
        <v>3</v>
      </c>
      <c r="K18" s="2" t="s">
        <v>4</v>
      </c>
      <c r="L18" s="2" t="s">
        <v>5</v>
      </c>
      <c r="M18" s="2" t="s">
        <v>6</v>
      </c>
    </row>
    <row r="19" spans="1:14" x14ac:dyDescent="0.3">
      <c r="A19" s="1">
        <v>1</v>
      </c>
      <c r="B19" s="1">
        <v>11.13</v>
      </c>
      <c r="C19" s="1">
        <v>20</v>
      </c>
      <c r="D19" s="1">
        <v>8.8699999999999992</v>
      </c>
      <c r="E19" s="1">
        <v>1.69</v>
      </c>
      <c r="F19" s="1">
        <v>0.67300000000000004</v>
      </c>
      <c r="H19" s="1">
        <v>1</v>
      </c>
      <c r="I19" s="1">
        <v>17.84</v>
      </c>
      <c r="J19" s="1">
        <v>21</v>
      </c>
      <c r="K19" s="1">
        <v>3.16</v>
      </c>
      <c r="L19" s="1">
        <v>1.1200000000000001</v>
      </c>
      <c r="M19" s="1">
        <v>0.22900000000000001</v>
      </c>
    </row>
    <row r="20" spans="1:14" x14ac:dyDescent="0.3">
      <c r="A20" s="1">
        <v>2</v>
      </c>
      <c r="B20" s="1">
        <v>19.46</v>
      </c>
      <c r="C20" s="1">
        <v>21</v>
      </c>
      <c r="D20" s="1">
        <v>1.54</v>
      </c>
      <c r="E20" s="1">
        <v>1.72</v>
      </c>
      <c r="F20" s="1">
        <v>0.625</v>
      </c>
      <c r="H20" s="1">
        <v>2</v>
      </c>
      <c r="I20" s="1">
        <v>17.75</v>
      </c>
      <c r="J20" s="1">
        <v>19</v>
      </c>
      <c r="K20" s="1">
        <v>1.25</v>
      </c>
      <c r="L20" s="1">
        <v>1.06</v>
      </c>
      <c r="M20" s="1">
        <v>0.13300000000000001</v>
      </c>
    </row>
    <row r="21" spans="1:14" x14ac:dyDescent="0.3">
      <c r="A21" s="1">
        <v>3</v>
      </c>
      <c r="B21" s="1">
        <v>21.02</v>
      </c>
      <c r="C21" s="1">
        <v>21</v>
      </c>
      <c r="D21" s="1">
        <v>0.02</v>
      </c>
      <c r="E21" s="1">
        <v>1.5</v>
      </c>
      <c r="F21" s="1">
        <v>0.52300000000000002</v>
      </c>
      <c r="H21" s="1">
        <v>3</v>
      </c>
      <c r="I21" s="1">
        <v>15.02</v>
      </c>
      <c r="J21" s="1">
        <v>21</v>
      </c>
      <c r="K21" s="1">
        <v>5.98</v>
      </c>
      <c r="L21" s="1">
        <v>1.06</v>
      </c>
      <c r="M21" s="1">
        <v>0.127</v>
      </c>
    </row>
    <row r="22" spans="1:14" x14ac:dyDescent="0.3">
      <c r="A22" s="1">
        <v>4</v>
      </c>
      <c r="B22" s="1">
        <v>17.59</v>
      </c>
      <c r="C22" s="1">
        <v>19</v>
      </c>
      <c r="D22" s="1">
        <v>1.41</v>
      </c>
      <c r="E22" s="1">
        <v>1.43</v>
      </c>
      <c r="F22" s="1">
        <v>0.48</v>
      </c>
      <c r="H22" s="1">
        <v>4</v>
      </c>
      <c r="I22" s="1">
        <v>16.440000000000001</v>
      </c>
      <c r="J22" s="1">
        <v>20</v>
      </c>
      <c r="K22" s="1">
        <v>3.56</v>
      </c>
      <c r="L22" s="1">
        <v>1.07</v>
      </c>
      <c r="M22" s="1">
        <v>0.151</v>
      </c>
    </row>
    <row r="23" spans="1:14" x14ac:dyDescent="0.3">
      <c r="A23" s="1">
        <v>5</v>
      </c>
      <c r="B23" s="1">
        <v>12.67</v>
      </c>
      <c r="C23" s="1">
        <v>20</v>
      </c>
      <c r="D23" s="1">
        <v>7.33</v>
      </c>
      <c r="E23" s="1">
        <v>1.45</v>
      </c>
      <c r="F23" s="1">
        <v>0.50600000000000001</v>
      </c>
      <c r="H23" s="1">
        <v>5</v>
      </c>
      <c r="I23" s="1">
        <v>17.96</v>
      </c>
      <c r="J23" s="1">
        <v>20</v>
      </c>
      <c r="K23" s="1">
        <v>2.04</v>
      </c>
      <c r="L23" s="1">
        <v>1.1299999999999999</v>
      </c>
      <c r="M23" s="1">
        <v>0.252</v>
      </c>
    </row>
    <row r="24" spans="1:14" x14ac:dyDescent="0.3">
      <c r="A24" s="1">
        <v>6</v>
      </c>
      <c r="B24" s="1">
        <v>9.18</v>
      </c>
      <c r="C24" s="1">
        <v>20</v>
      </c>
      <c r="D24" s="1">
        <v>10.82</v>
      </c>
      <c r="E24" s="1">
        <v>1.42</v>
      </c>
      <c r="F24" s="1">
        <v>0.46500000000000002</v>
      </c>
      <c r="H24" s="1">
        <v>6</v>
      </c>
      <c r="I24" s="1">
        <v>10.83</v>
      </c>
      <c r="J24" s="1">
        <v>20</v>
      </c>
      <c r="K24" s="1">
        <v>9.17</v>
      </c>
      <c r="L24" s="1">
        <v>1.1000000000000001</v>
      </c>
      <c r="M24" s="1">
        <v>0.19600000000000001</v>
      </c>
    </row>
    <row r="25" spans="1:14" x14ac:dyDescent="0.3">
      <c r="A25" s="1">
        <v>7</v>
      </c>
      <c r="B25" s="1">
        <v>10.84</v>
      </c>
      <c r="C25" s="1">
        <v>21</v>
      </c>
      <c r="D25" s="1">
        <v>10.16</v>
      </c>
      <c r="E25" s="1">
        <v>1.52</v>
      </c>
      <c r="F25" s="1">
        <v>0.54100000000000004</v>
      </c>
      <c r="H25" s="1">
        <v>7</v>
      </c>
      <c r="I25" s="1">
        <v>14.16</v>
      </c>
      <c r="J25" s="1">
        <v>20</v>
      </c>
      <c r="K25" s="1">
        <v>5.84</v>
      </c>
      <c r="L25" s="1">
        <v>1.1200000000000001</v>
      </c>
      <c r="M25" s="1">
        <v>0.22700000000000001</v>
      </c>
    </row>
    <row r="26" spans="1:14" x14ac:dyDescent="0.3">
      <c r="A26" s="1">
        <v>8</v>
      </c>
      <c r="B26" s="1">
        <v>8.66</v>
      </c>
      <c r="C26" s="1">
        <v>21</v>
      </c>
      <c r="D26" s="1">
        <v>12.34</v>
      </c>
      <c r="E26" s="1">
        <v>1.6</v>
      </c>
      <c r="F26" s="1">
        <v>0.61</v>
      </c>
      <c r="H26" s="1">
        <v>8</v>
      </c>
      <c r="I26" s="1">
        <v>14.86</v>
      </c>
      <c r="J26" s="1">
        <v>21</v>
      </c>
      <c r="K26" s="1">
        <v>6.14</v>
      </c>
      <c r="L26" s="1">
        <v>1.1200000000000001</v>
      </c>
      <c r="M26" s="1">
        <v>0.23300000000000001</v>
      </c>
    </row>
    <row r="27" spans="1:14" x14ac:dyDescent="0.3">
      <c r="A27" s="1">
        <v>9</v>
      </c>
      <c r="B27" s="1">
        <v>15.98</v>
      </c>
      <c r="C27" s="1">
        <v>21</v>
      </c>
      <c r="D27" s="1">
        <v>5.0199999999999996</v>
      </c>
      <c r="E27" s="1">
        <v>1.67</v>
      </c>
      <c r="F27" s="1">
        <v>0.60699999999999998</v>
      </c>
      <c r="H27" s="1">
        <v>9</v>
      </c>
      <c r="I27" s="1">
        <v>13.29</v>
      </c>
      <c r="J27" s="1">
        <v>21</v>
      </c>
      <c r="K27" s="1">
        <v>7.71</v>
      </c>
      <c r="L27" s="1">
        <v>1.1399999999999999</v>
      </c>
      <c r="M27" s="1">
        <v>0.26200000000000001</v>
      </c>
    </row>
    <row r="28" spans="1:14" x14ac:dyDescent="0.3">
      <c r="A28" s="1">
        <v>10</v>
      </c>
      <c r="B28" s="4">
        <v>14.92</v>
      </c>
      <c r="C28" s="1">
        <v>21</v>
      </c>
      <c r="D28" s="4">
        <v>6.08</v>
      </c>
      <c r="E28" s="1">
        <v>1.74</v>
      </c>
      <c r="F28" s="1">
        <v>0.67300000000000004</v>
      </c>
      <c r="H28" s="1">
        <v>10</v>
      </c>
      <c r="I28" s="4">
        <v>13.27</v>
      </c>
      <c r="J28" s="1">
        <v>20</v>
      </c>
      <c r="K28" s="4">
        <v>6.73</v>
      </c>
      <c r="L28" s="1">
        <v>1.07</v>
      </c>
      <c r="M28" s="1">
        <v>0.14499999999999999</v>
      </c>
    </row>
    <row r="29" spans="1:14" x14ac:dyDescent="0.3">
      <c r="D29" s="3">
        <f>AVERAGE(D19:D28)</f>
        <v>6.359</v>
      </c>
      <c r="E29" s="3">
        <f>AVERAGE(E19:E28)</f>
        <v>1.5740000000000001</v>
      </c>
      <c r="F29" s="3">
        <f>AVERAGE(F19:F28)</f>
        <v>0.57030000000000003</v>
      </c>
      <c r="K29" s="3">
        <f>AVERAGE(K19:K28)</f>
        <v>5.1579999999999995</v>
      </c>
      <c r="L29" s="3">
        <f>AVERAGE(L19:L28)</f>
        <v>1.0990000000000002</v>
      </c>
      <c r="M29" s="3">
        <f>AVERAGE(M19:M28)</f>
        <v>0.19550000000000003</v>
      </c>
    </row>
    <row r="30" spans="1:14" x14ac:dyDescent="0.3">
      <c r="C30" s="9"/>
      <c r="D30" s="10"/>
      <c r="E30" s="10"/>
      <c r="F30" s="10"/>
      <c r="G30" s="9"/>
      <c r="H30" s="9"/>
      <c r="I30" s="9"/>
      <c r="J30" s="9"/>
      <c r="K30" s="10"/>
      <c r="L30" s="10"/>
      <c r="M30" s="10"/>
      <c r="N30" s="9"/>
    </row>
    <row r="31" spans="1:14" x14ac:dyDescent="0.3">
      <c r="A31" s="5" t="s">
        <v>14</v>
      </c>
      <c r="B31" s="5"/>
      <c r="C31" s="5"/>
      <c r="D31" s="5"/>
      <c r="E31" s="5"/>
      <c r="G31" s="9"/>
      <c r="H31" s="5" t="s">
        <v>15</v>
      </c>
      <c r="I31" s="5"/>
      <c r="J31" s="5"/>
      <c r="K31" s="5"/>
      <c r="L31" s="5"/>
      <c r="N31" s="9"/>
    </row>
    <row r="32" spans="1:14" x14ac:dyDescent="0.3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  <c r="G32" s="9"/>
      <c r="H32" s="2" t="s">
        <v>1</v>
      </c>
      <c r="I32" s="2" t="s">
        <v>2</v>
      </c>
      <c r="J32" s="2" t="s">
        <v>3</v>
      </c>
      <c r="K32" s="2" t="s">
        <v>4</v>
      </c>
      <c r="L32" s="2" t="s">
        <v>5</v>
      </c>
      <c r="M32" s="2" t="s">
        <v>6</v>
      </c>
      <c r="N32" s="9"/>
    </row>
    <row r="33" spans="1:14" x14ac:dyDescent="0.3">
      <c r="A33" s="1">
        <v>1</v>
      </c>
      <c r="B33" s="1">
        <v>21.35</v>
      </c>
      <c r="C33" s="1">
        <v>20</v>
      </c>
      <c r="D33" s="1">
        <v>1.35</v>
      </c>
      <c r="E33" s="1">
        <v>1.03</v>
      </c>
      <c r="F33" s="1">
        <v>8.1000000000000003E-2</v>
      </c>
      <c r="G33" s="9"/>
      <c r="H33" s="1">
        <v>1</v>
      </c>
      <c r="I33" s="1">
        <v>17.96</v>
      </c>
      <c r="J33" s="1">
        <v>20</v>
      </c>
      <c r="K33" s="1">
        <v>2.04</v>
      </c>
      <c r="L33" s="1">
        <v>1.03</v>
      </c>
      <c r="M33" s="1">
        <v>6.8000000000000005E-2</v>
      </c>
      <c r="N33" s="9"/>
    </row>
    <row r="34" spans="1:14" x14ac:dyDescent="0.3">
      <c r="A34" s="1">
        <v>2</v>
      </c>
      <c r="B34" s="1">
        <v>26.92</v>
      </c>
      <c r="C34" s="1">
        <v>21</v>
      </c>
      <c r="D34" s="1">
        <v>5.92</v>
      </c>
      <c r="E34" s="1">
        <v>1.02</v>
      </c>
      <c r="F34" s="1">
        <v>6.6000000000000003E-2</v>
      </c>
      <c r="G34" s="9"/>
      <c r="H34" s="1">
        <v>2</v>
      </c>
      <c r="I34" s="1">
        <v>20.75</v>
      </c>
      <c r="J34" s="1">
        <v>20</v>
      </c>
      <c r="K34" s="1">
        <v>0.75</v>
      </c>
      <c r="L34" s="1">
        <v>1.04</v>
      </c>
      <c r="M34" s="1">
        <v>8.7999999999999995E-2</v>
      </c>
      <c r="N34" s="9"/>
    </row>
    <row r="35" spans="1:14" x14ac:dyDescent="0.3">
      <c r="A35" s="1">
        <v>3</v>
      </c>
      <c r="B35" s="1">
        <v>30.19</v>
      </c>
      <c r="C35" s="1">
        <v>21</v>
      </c>
      <c r="D35" s="1">
        <v>9.19</v>
      </c>
      <c r="E35" s="1">
        <v>1.03</v>
      </c>
      <c r="F35" s="1">
        <v>7.0999999999999994E-2</v>
      </c>
      <c r="G35" s="9"/>
      <c r="H35" s="1">
        <v>3</v>
      </c>
      <c r="I35" s="1">
        <v>19.36</v>
      </c>
      <c r="J35" s="1">
        <v>20</v>
      </c>
      <c r="K35" s="1">
        <v>0.64</v>
      </c>
      <c r="L35" s="1">
        <v>1.03</v>
      </c>
      <c r="M35" s="1">
        <v>6.9000000000000006E-2</v>
      </c>
      <c r="N35" s="9"/>
    </row>
    <row r="36" spans="1:14" x14ac:dyDescent="0.3">
      <c r="A36" s="1">
        <v>4</v>
      </c>
      <c r="B36" s="1">
        <v>22.16</v>
      </c>
      <c r="C36" s="1">
        <v>19</v>
      </c>
      <c r="D36" s="1">
        <v>3.16</v>
      </c>
      <c r="E36" s="1">
        <v>1.02</v>
      </c>
      <c r="F36" s="1">
        <v>6.3E-2</v>
      </c>
      <c r="G36" s="9"/>
      <c r="H36" s="1">
        <v>4</v>
      </c>
      <c r="I36" s="1">
        <v>20.2</v>
      </c>
      <c r="J36" s="1">
        <v>20</v>
      </c>
      <c r="K36" s="1">
        <v>0.2</v>
      </c>
      <c r="L36" s="1">
        <v>1.02</v>
      </c>
      <c r="M36" s="1">
        <v>5.8999999999999997E-2</v>
      </c>
      <c r="N36" s="9"/>
    </row>
    <row r="37" spans="1:14" x14ac:dyDescent="0.3">
      <c r="A37" s="1">
        <v>5</v>
      </c>
      <c r="B37" s="1">
        <v>17.440000000000001</v>
      </c>
      <c r="C37" s="1">
        <v>20</v>
      </c>
      <c r="D37" s="1">
        <v>2.56</v>
      </c>
      <c r="E37" s="1">
        <v>1.03</v>
      </c>
      <c r="F37" s="1">
        <v>7.8E-2</v>
      </c>
      <c r="G37" s="9"/>
      <c r="H37" s="1">
        <v>5</v>
      </c>
      <c r="I37" s="1">
        <v>18.920000000000002</v>
      </c>
      <c r="J37" s="1">
        <v>20</v>
      </c>
      <c r="K37" s="1">
        <v>1.08</v>
      </c>
      <c r="L37" s="1">
        <v>1.02</v>
      </c>
      <c r="M37" s="1">
        <v>5.7000000000000002E-2</v>
      </c>
      <c r="N37" s="9"/>
    </row>
    <row r="38" spans="1:14" x14ac:dyDescent="0.3">
      <c r="A38" s="1">
        <v>6</v>
      </c>
      <c r="B38" s="1">
        <v>14.93</v>
      </c>
      <c r="C38" s="1">
        <v>20</v>
      </c>
      <c r="D38" s="1">
        <v>5.07</v>
      </c>
      <c r="E38" s="1">
        <v>1.02</v>
      </c>
      <c r="F38" s="1">
        <v>5.5E-2</v>
      </c>
      <c r="G38" s="9"/>
      <c r="H38" s="1">
        <v>6</v>
      </c>
      <c r="I38" s="1">
        <v>12.02</v>
      </c>
      <c r="J38" s="1">
        <v>20</v>
      </c>
      <c r="K38" s="1">
        <v>7.98</v>
      </c>
      <c r="L38" s="1">
        <v>1.03</v>
      </c>
      <c r="M38" s="1">
        <v>7.0000000000000007E-2</v>
      </c>
      <c r="N38" s="9"/>
    </row>
    <row r="39" spans="1:14" x14ac:dyDescent="0.3">
      <c r="A39" s="1">
        <v>7</v>
      </c>
      <c r="B39" s="1">
        <v>16.649999999999999</v>
      </c>
      <c r="C39" s="1">
        <v>21</v>
      </c>
      <c r="D39" s="1">
        <v>4.3499999999999996</v>
      </c>
      <c r="E39" s="1">
        <v>1.03</v>
      </c>
      <c r="F39" s="1">
        <v>7.1999999999999995E-2</v>
      </c>
      <c r="G39" s="9"/>
      <c r="H39" s="1">
        <v>7</v>
      </c>
      <c r="I39" s="1">
        <v>20.010000000000002</v>
      </c>
      <c r="J39" s="1">
        <v>20</v>
      </c>
      <c r="K39" s="1">
        <v>0.01</v>
      </c>
      <c r="L39" s="1">
        <v>1.05</v>
      </c>
      <c r="M39" s="1">
        <v>0.113</v>
      </c>
      <c r="N39" s="9"/>
    </row>
    <row r="40" spans="1:14" x14ac:dyDescent="0.3">
      <c r="A40" s="1">
        <v>8</v>
      </c>
      <c r="B40" s="1">
        <v>16.41</v>
      </c>
      <c r="C40" s="1">
        <v>21</v>
      </c>
      <c r="D40" s="1">
        <v>4.59</v>
      </c>
      <c r="E40" s="1">
        <v>1.04</v>
      </c>
      <c r="F40" s="1">
        <v>9.7000000000000003E-2</v>
      </c>
      <c r="G40" s="9"/>
      <c r="H40" s="1">
        <v>8</v>
      </c>
      <c r="I40" s="1">
        <v>20.39</v>
      </c>
      <c r="J40" s="1">
        <v>19</v>
      </c>
      <c r="K40" s="1">
        <v>1.39</v>
      </c>
      <c r="L40" s="1">
        <v>1.04</v>
      </c>
      <c r="M40" s="1">
        <v>8.6999999999999994E-2</v>
      </c>
      <c r="N40" s="9"/>
    </row>
    <row r="41" spans="1:14" x14ac:dyDescent="0.3">
      <c r="A41" s="1">
        <v>9</v>
      </c>
      <c r="B41" s="1">
        <v>25.07</v>
      </c>
      <c r="C41" s="1">
        <v>21</v>
      </c>
      <c r="D41" s="1">
        <v>4.07</v>
      </c>
      <c r="E41" s="1">
        <v>1.02</v>
      </c>
      <c r="F41" s="1">
        <v>4.3999999999999997E-2</v>
      </c>
      <c r="G41" s="9"/>
      <c r="H41" s="1">
        <v>9</v>
      </c>
      <c r="I41" s="1">
        <v>17.29</v>
      </c>
      <c r="J41" s="1">
        <v>19</v>
      </c>
      <c r="K41" s="1">
        <v>1.71</v>
      </c>
      <c r="L41" s="1">
        <v>1.03</v>
      </c>
      <c r="M41" s="1">
        <v>0.08</v>
      </c>
      <c r="N41" s="9"/>
    </row>
    <row r="42" spans="1:14" x14ac:dyDescent="0.3">
      <c r="A42" s="1">
        <v>10</v>
      </c>
      <c r="B42" s="4">
        <v>24.77</v>
      </c>
      <c r="C42" s="1">
        <v>21</v>
      </c>
      <c r="D42" s="4">
        <v>3.77</v>
      </c>
      <c r="E42" s="1">
        <v>1.02</v>
      </c>
      <c r="F42" s="1">
        <v>5.8999999999999997E-2</v>
      </c>
      <c r="G42" s="9"/>
      <c r="H42" s="1">
        <v>10</v>
      </c>
      <c r="I42" s="4">
        <v>17.190000000000001</v>
      </c>
      <c r="J42" s="1">
        <v>20</v>
      </c>
      <c r="K42" s="4">
        <v>2.81</v>
      </c>
      <c r="L42" s="1">
        <v>1.04</v>
      </c>
      <c r="M42" s="1">
        <v>9.0999999999999998E-2</v>
      </c>
      <c r="N42" s="9"/>
    </row>
    <row r="43" spans="1:14" x14ac:dyDescent="0.3">
      <c r="D43" s="3">
        <f>AVERAGE(D33:D42)</f>
        <v>4.4030000000000005</v>
      </c>
      <c r="E43" s="3">
        <f>AVERAGE(E33:E42)</f>
        <v>1.026</v>
      </c>
      <c r="F43" s="3">
        <f>AVERAGE(F33:F42)</f>
        <v>6.8600000000000022E-2</v>
      </c>
      <c r="G43" s="9"/>
      <c r="K43" s="3">
        <f>AVERAGE(K33:K42)</f>
        <v>1.861</v>
      </c>
      <c r="L43" s="3">
        <f>AVERAGE(L33:L42)</f>
        <v>1.0330000000000001</v>
      </c>
      <c r="M43" s="3">
        <f>AVERAGE(M33:M42)</f>
        <v>7.8199999999999992E-2</v>
      </c>
      <c r="N43" s="9"/>
    </row>
    <row r="45" spans="1:14" x14ac:dyDescent="0.3">
      <c r="A45" s="5" t="s">
        <v>10</v>
      </c>
      <c r="B45" s="5"/>
      <c r="C45" s="5"/>
      <c r="D45" s="5"/>
      <c r="E45" s="5"/>
      <c r="H45" s="5" t="s">
        <v>11</v>
      </c>
      <c r="I45" s="5"/>
      <c r="J45" s="5"/>
      <c r="K45" s="5"/>
      <c r="L45" s="5"/>
    </row>
    <row r="46" spans="1:14" x14ac:dyDescent="0.3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 t="s">
        <v>6</v>
      </c>
      <c r="H46" s="2" t="s">
        <v>1</v>
      </c>
      <c r="I46" s="2" t="s">
        <v>2</v>
      </c>
      <c r="J46" s="2" t="s">
        <v>3</v>
      </c>
      <c r="K46" s="2" t="s">
        <v>4</v>
      </c>
      <c r="L46" s="2" t="s">
        <v>5</v>
      </c>
      <c r="M46" s="2" t="s">
        <v>6</v>
      </c>
    </row>
    <row r="47" spans="1:14" x14ac:dyDescent="0.3">
      <c r="A47" s="1">
        <v>1</v>
      </c>
      <c r="B47" s="1">
        <v>7.3</v>
      </c>
      <c r="C47" s="1">
        <v>20</v>
      </c>
      <c r="D47" s="1">
        <v>12.7</v>
      </c>
      <c r="E47" s="1">
        <v>1.06</v>
      </c>
      <c r="F47" s="1">
        <v>0.13</v>
      </c>
      <c r="H47" s="1">
        <v>1</v>
      </c>
      <c r="I47" s="1">
        <v>50.38</v>
      </c>
      <c r="J47" s="1">
        <v>20</v>
      </c>
      <c r="K47" s="1">
        <v>30.38</v>
      </c>
      <c r="L47" s="1">
        <v>2.77</v>
      </c>
      <c r="M47" s="1">
        <v>1.113</v>
      </c>
    </row>
    <row r="48" spans="1:14" x14ac:dyDescent="0.3">
      <c r="A48" s="1">
        <v>2</v>
      </c>
      <c r="B48" s="1">
        <v>5.62</v>
      </c>
      <c r="C48" s="1">
        <v>22</v>
      </c>
      <c r="D48" s="1">
        <v>16.38</v>
      </c>
      <c r="E48" s="1">
        <v>1.1000000000000001</v>
      </c>
      <c r="F48" s="1">
        <v>0.19</v>
      </c>
      <c r="H48" s="1">
        <v>2</v>
      </c>
      <c r="I48" s="1">
        <v>66.8</v>
      </c>
      <c r="J48" s="1">
        <v>21</v>
      </c>
      <c r="K48" s="1">
        <v>45.8</v>
      </c>
      <c r="L48" s="1">
        <v>2.63</v>
      </c>
      <c r="M48" s="1">
        <v>1.1000000000000001</v>
      </c>
    </row>
    <row r="49" spans="1:13" x14ac:dyDescent="0.3">
      <c r="A49" s="1">
        <v>3</v>
      </c>
      <c r="B49" s="1">
        <v>6.01</v>
      </c>
      <c r="C49" s="1">
        <v>21</v>
      </c>
      <c r="D49" s="1">
        <v>14.99</v>
      </c>
      <c r="E49" s="1">
        <v>1.07</v>
      </c>
      <c r="F49" s="1">
        <v>0.156</v>
      </c>
      <c r="H49" s="1">
        <v>3</v>
      </c>
      <c r="I49" s="1">
        <v>72.900000000000006</v>
      </c>
      <c r="J49" s="1">
        <v>21</v>
      </c>
      <c r="K49" s="1">
        <v>51.9</v>
      </c>
      <c r="L49" s="1">
        <v>2.64</v>
      </c>
      <c r="M49" s="1">
        <v>1.1080000000000001</v>
      </c>
    </row>
    <row r="50" spans="1:13" x14ac:dyDescent="0.3">
      <c r="A50" s="1">
        <v>4</v>
      </c>
      <c r="B50" s="1">
        <v>5.71</v>
      </c>
      <c r="C50" s="1">
        <v>21</v>
      </c>
      <c r="D50" s="1">
        <v>15.29</v>
      </c>
      <c r="E50" s="1">
        <v>1.1000000000000001</v>
      </c>
      <c r="F50" s="1">
        <v>0.187</v>
      </c>
      <c r="H50" s="1">
        <v>4</v>
      </c>
      <c r="I50" s="1">
        <v>74.53</v>
      </c>
      <c r="J50" s="1">
        <v>19</v>
      </c>
      <c r="K50" s="1">
        <v>55.53</v>
      </c>
      <c r="L50" s="1">
        <v>2.62</v>
      </c>
      <c r="M50" s="1">
        <v>1.077</v>
      </c>
    </row>
    <row r="51" spans="1:13" x14ac:dyDescent="0.3">
      <c r="A51" s="1">
        <v>5</v>
      </c>
      <c r="B51" s="1">
        <v>4.8</v>
      </c>
      <c r="C51" s="1">
        <v>20</v>
      </c>
      <c r="D51" s="1">
        <v>15.2</v>
      </c>
      <c r="E51" s="1">
        <v>1.17</v>
      </c>
      <c r="F51" s="1">
        <v>0.29599999999999999</v>
      </c>
      <c r="H51" s="1">
        <v>5</v>
      </c>
      <c r="I51" s="1">
        <v>54.7</v>
      </c>
      <c r="J51" s="1">
        <v>20</v>
      </c>
      <c r="K51" s="1">
        <v>34.700000000000003</v>
      </c>
      <c r="L51" s="1">
        <v>2.63</v>
      </c>
      <c r="M51" s="1">
        <v>1.091</v>
      </c>
    </row>
    <row r="52" spans="1:13" x14ac:dyDescent="0.3">
      <c r="A52" s="1">
        <v>6</v>
      </c>
      <c r="B52" s="1">
        <v>5.59</v>
      </c>
      <c r="C52" s="1">
        <v>21</v>
      </c>
      <c r="D52" s="1">
        <v>15.41</v>
      </c>
      <c r="E52" s="1">
        <v>1.07</v>
      </c>
      <c r="F52" s="1">
        <v>0.152</v>
      </c>
      <c r="H52" s="1">
        <v>6</v>
      </c>
      <c r="I52" s="1">
        <v>47.3</v>
      </c>
      <c r="J52" s="1">
        <v>20</v>
      </c>
      <c r="K52" s="1">
        <v>27.3</v>
      </c>
      <c r="L52" s="1">
        <v>2.81</v>
      </c>
      <c r="M52" s="1">
        <v>1.121</v>
      </c>
    </row>
    <row r="53" spans="1:13" x14ac:dyDescent="0.3">
      <c r="A53" s="1">
        <v>7</v>
      </c>
      <c r="B53" s="1">
        <v>5.45</v>
      </c>
      <c r="C53" s="1">
        <v>19</v>
      </c>
      <c r="D53" s="1">
        <v>13.55</v>
      </c>
      <c r="E53" s="1">
        <v>1.1299999999999999</v>
      </c>
      <c r="F53" s="1">
        <v>0.24399999999999999</v>
      </c>
      <c r="H53" s="1">
        <v>7</v>
      </c>
      <c r="I53" s="1">
        <v>49.74</v>
      </c>
      <c r="J53" s="1">
        <v>21</v>
      </c>
      <c r="K53" s="1">
        <v>28.74</v>
      </c>
      <c r="L53" s="1">
        <v>2.73</v>
      </c>
      <c r="M53" s="1">
        <v>1.0860000000000001</v>
      </c>
    </row>
    <row r="54" spans="1:13" x14ac:dyDescent="0.3">
      <c r="A54" s="1">
        <v>8</v>
      </c>
      <c r="B54" s="1">
        <v>5.63</v>
      </c>
      <c r="C54" s="1">
        <v>20</v>
      </c>
      <c r="D54" s="1">
        <v>14.37</v>
      </c>
      <c r="E54" s="1">
        <v>1.0900000000000001</v>
      </c>
      <c r="F54" s="1">
        <v>0.18099999999999999</v>
      </c>
      <c r="H54" s="1">
        <v>8</v>
      </c>
      <c r="I54" s="1">
        <v>44.38</v>
      </c>
      <c r="J54" s="1">
        <v>21</v>
      </c>
      <c r="K54" s="1">
        <v>23.38</v>
      </c>
      <c r="L54" s="1">
        <v>2.86</v>
      </c>
      <c r="M54" s="1">
        <v>1.145</v>
      </c>
    </row>
    <row r="55" spans="1:13" x14ac:dyDescent="0.3">
      <c r="A55" s="1">
        <v>9</v>
      </c>
      <c r="B55" s="1">
        <v>5.74</v>
      </c>
      <c r="C55" s="1">
        <v>20</v>
      </c>
      <c r="D55" s="1">
        <v>14.26</v>
      </c>
      <c r="E55" s="1">
        <v>1.1200000000000001</v>
      </c>
      <c r="F55" s="1">
        <v>0.219</v>
      </c>
      <c r="H55" s="1">
        <v>9</v>
      </c>
      <c r="I55" s="1">
        <v>57.48</v>
      </c>
      <c r="J55" s="1">
        <v>21</v>
      </c>
      <c r="K55" s="1">
        <v>36.479999999999997</v>
      </c>
      <c r="L55" s="1">
        <v>2.61</v>
      </c>
      <c r="M55" s="1">
        <v>1.111</v>
      </c>
    </row>
    <row r="56" spans="1:13" x14ac:dyDescent="0.3">
      <c r="A56" s="1">
        <v>10</v>
      </c>
      <c r="B56" s="4">
        <v>5.77</v>
      </c>
      <c r="C56" s="1">
        <v>20</v>
      </c>
      <c r="D56" s="4">
        <v>14.23</v>
      </c>
      <c r="E56" s="1">
        <v>1.1100000000000001</v>
      </c>
      <c r="F56" s="1">
        <v>0.19500000000000001</v>
      </c>
      <c r="H56" s="1">
        <v>10</v>
      </c>
      <c r="I56" s="4">
        <v>46.89</v>
      </c>
      <c r="J56" s="1">
        <v>21</v>
      </c>
      <c r="K56" s="4">
        <v>25.89</v>
      </c>
      <c r="L56" s="1">
        <v>2.76</v>
      </c>
      <c r="M56" s="1">
        <v>1.1599999999999999</v>
      </c>
    </row>
    <row r="57" spans="1:13" x14ac:dyDescent="0.3">
      <c r="D57" s="3">
        <f>AVERAGE(D47:D56)</f>
        <v>14.638</v>
      </c>
      <c r="E57" s="3">
        <f>AVERAGE(E47:E56)</f>
        <v>1.1019999999999999</v>
      </c>
      <c r="F57" s="3">
        <f>AVERAGE(F47:F56)</f>
        <v>0.19500000000000001</v>
      </c>
      <c r="K57" s="3">
        <f>AVERAGE(K47:K56)</f>
        <v>36.010000000000005</v>
      </c>
      <c r="L57" s="3">
        <f>AVERAGE(L47:L56)</f>
        <v>2.7059999999999995</v>
      </c>
      <c r="M57" s="3">
        <f>AVERAGE(M47:M56)</f>
        <v>1.1112</v>
      </c>
    </row>
    <row r="59" spans="1:13" x14ac:dyDescent="0.3">
      <c r="A59" s="5" t="s">
        <v>16</v>
      </c>
      <c r="B59" s="5"/>
      <c r="C59" s="5"/>
      <c r="D59" s="5"/>
      <c r="E59" s="5"/>
      <c r="H59" s="6" t="s">
        <v>17</v>
      </c>
      <c r="I59" s="6"/>
      <c r="J59" s="6"/>
      <c r="K59" s="6"/>
      <c r="L59" s="6"/>
      <c r="M59" s="6"/>
    </row>
    <row r="60" spans="1:13" x14ac:dyDescent="0.3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H60" s="2" t="s">
        <v>1</v>
      </c>
      <c r="I60" s="2" t="s">
        <v>2</v>
      </c>
      <c r="J60" s="2" t="s">
        <v>3</v>
      </c>
      <c r="K60" s="2" t="s">
        <v>4</v>
      </c>
      <c r="L60" s="2" t="s">
        <v>5</v>
      </c>
      <c r="M60" s="2" t="s">
        <v>6</v>
      </c>
    </row>
    <row r="61" spans="1:13" x14ac:dyDescent="0.3">
      <c r="A61" s="1">
        <v>1</v>
      </c>
      <c r="B61" s="1">
        <v>3.8</v>
      </c>
      <c r="C61" s="1">
        <v>20</v>
      </c>
      <c r="D61" s="1">
        <v>16.2</v>
      </c>
      <c r="E61" s="1">
        <v>1.34</v>
      </c>
      <c r="F61" s="1">
        <v>0.437</v>
      </c>
      <c r="H61" s="1">
        <v>1</v>
      </c>
      <c r="I61" s="1">
        <v>76.03</v>
      </c>
      <c r="J61" s="1">
        <v>21</v>
      </c>
      <c r="K61" s="1">
        <v>55.03</v>
      </c>
      <c r="L61" s="1">
        <v>2.19</v>
      </c>
      <c r="M61" s="1">
        <v>0.93600000000000005</v>
      </c>
    </row>
    <row r="62" spans="1:13" x14ac:dyDescent="0.3">
      <c r="A62" s="1">
        <v>2</v>
      </c>
      <c r="B62" s="1">
        <v>3.8</v>
      </c>
      <c r="C62" s="1">
        <v>22</v>
      </c>
      <c r="D62" s="1">
        <v>18.2</v>
      </c>
      <c r="E62" s="1">
        <v>1.38</v>
      </c>
      <c r="F62" s="1">
        <v>0.44700000000000001</v>
      </c>
      <c r="H62" s="1">
        <v>2</v>
      </c>
      <c r="I62" s="1">
        <v>61.08</v>
      </c>
      <c r="J62" s="1">
        <v>19</v>
      </c>
      <c r="K62" s="1">
        <v>42.08</v>
      </c>
      <c r="L62" s="1">
        <v>2.5299999999999998</v>
      </c>
      <c r="M62" s="1">
        <v>1.083</v>
      </c>
    </row>
    <row r="63" spans="1:13" x14ac:dyDescent="0.3">
      <c r="A63" s="1">
        <v>3</v>
      </c>
      <c r="B63" s="1">
        <v>3.26</v>
      </c>
      <c r="C63" s="1">
        <v>21</v>
      </c>
      <c r="D63" s="1">
        <v>17.739999999999998</v>
      </c>
      <c r="E63" s="1">
        <v>1.37</v>
      </c>
      <c r="F63" s="1">
        <v>0.48199999999999998</v>
      </c>
      <c r="H63" s="1">
        <v>3</v>
      </c>
      <c r="I63" s="1">
        <v>73.489999999999995</v>
      </c>
      <c r="J63" s="1">
        <v>21</v>
      </c>
      <c r="K63" s="1">
        <v>52.49</v>
      </c>
      <c r="L63" s="1">
        <v>2.4300000000000002</v>
      </c>
      <c r="M63" s="1">
        <v>1.0620000000000001</v>
      </c>
    </row>
    <row r="64" spans="1:13" x14ac:dyDescent="0.3">
      <c r="A64" s="1">
        <v>4</v>
      </c>
      <c r="B64" s="1">
        <v>3.15</v>
      </c>
      <c r="C64" s="1">
        <v>21</v>
      </c>
      <c r="D64" s="1">
        <v>17.850000000000001</v>
      </c>
      <c r="E64" s="1">
        <v>1.35</v>
      </c>
      <c r="F64" s="1">
        <v>0.46700000000000003</v>
      </c>
      <c r="H64" s="1">
        <v>4</v>
      </c>
      <c r="I64" s="1">
        <v>78.78</v>
      </c>
      <c r="J64" s="1">
        <v>20</v>
      </c>
      <c r="K64" s="1">
        <v>58.78</v>
      </c>
      <c r="L64" s="1">
        <v>2.46</v>
      </c>
      <c r="M64" s="1">
        <v>1.073</v>
      </c>
    </row>
    <row r="65" spans="1:13" x14ac:dyDescent="0.3">
      <c r="A65" s="1">
        <v>5</v>
      </c>
      <c r="B65" s="1">
        <v>3.05</v>
      </c>
      <c r="C65" s="1">
        <v>20</v>
      </c>
      <c r="D65" s="1">
        <v>16.95</v>
      </c>
      <c r="E65" s="1">
        <v>1.37</v>
      </c>
      <c r="F65" s="1">
        <v>0.499</v>
      </c>
      <c r="H65" s="1">
        <v>5</v>
      </c>
      <c r="I65" s="1">
        <v>62.83</v>
      </c>
      <c r="J65" s="1">
        <v>20</v>
      </c>
      <c r="K65" s="1">
        <v>42.83</v>
      </c>
      <c r="L65" s="1">
        <v>2.31</v>
      </c>
      <c r="M65" s="1">
        <v>0.996</v>
      </c>
    </row>
    <row r="66" spans="1:13" x14ac:dyDescent="0.3">
      <c r="A66" s="1">
        <v>6</v>
      </c>
      <c r="B66" s="1">
        <v>3.26</v>
      </c>
      <c r="C66" s="1">
        <v>21</v>
      </c>
      <c r="D66" s="1">
        <v>17.739999999999998</v>
      </c>
      <c r="E66" s="1">
        <v>1.28</v>
      </c>
      <c r="F66" s="1">
        <v>0.39500000000000002</v>
      </c>
      <c r="H66" s="1">
        <v>6</v>
      </c>
      <c r="I66" s="1">
        <v>57.55</v>
      </c>
      <c r="J66" s="1">
        <v>20</v>
      </c>
      <c r="K66" s="1">
        <v>37.549999999999997</v>
      </c>
      <c r="L66" s="1">
        <v>2.37</v>
      </c>
      <c r="M66" s="1">
        <v>1.0249999999999999</v>
      </c>
    </row>
    <row r="67" spans="1:13" x14ac:dyDescent="0.3">
      <c r="A67" s="1">
        <v>7</v>
      </c>
      <c r="B67" s="1">
        <v>3.43</v>
      </c>
      <c r="C67" s="1">
        <v>19</v>
      </c>
      <c r="D67" s="1">
        <v>15.57</v>
      </c>
      <c r="E67" s="1">
        <v>1.29</v>
      </c>
      <c r="F67" s="1">
        <v>0.42399999999999999</v>
      </c>
      <c r="H67" s="1">
        <v>7</v>
      </c>
      <c r="I67" s="1">
        <v>69.19</v>
      </c>
      <c r="J67" s="1">
        <v>20</v>
      </c>
      <c r="K67" s="1">
        <v>49.19</v>
      </c>
      <c r="L67" s="1">
        <v>2.5</v>
      </c>
      <c r="M67" s="1">
        <v>1.0740000000000001</v>
      </c>
    </row>
    <row r="68" spans="1:13" x14ac:dyDescent="0.3">
      <c r="A68" s="1">
        <v>8</v>
      </c>
      <c r="B68" s="1">
        <v>4.0999999999999996</v>
      </c>
      <c r="C68" s="1">
        <v>20</v>
      </c>
      <c r="D68" s="1">
        <v>15.9</v>
      </c>
      <c r="E68" s="1">
        <v>1.59</v>
      </c>
      <c r="F68" s="1">
        <v>0.51400000000000001</v>
      </c>
      <c r="H68" s="1">
        <v>8</v>
      </c>
      <c r="I68" s="4">
        <v>50.32</v>
      </c>
      <c r="J68" s="1">
        <v>21</v>
      </c>
      <c r="K68" s="4">
        <v>29.32</v>
      </c>
      <c r="L68" s="1">
        <v>2.31</v>
      </c>
      <c r="M68" s="1">
        <v>0.999</v>
      </c>
    </row>
    <row r="69" spans="1:13" x14ac:dyDescent="0.3">
      <c r="A69" s="1">
        <v>9</v>
      </c>
      <c r="B69" s="1">
        <v>3.35</v>
      </c>
      <c r="C69" s="1">
        <v>20</v>
      </c>
      <c r="D69" s="1">
        <v>16.649999999999999</v>
      </c>
      <c r="E69" s="1">
        <v>1.3</v>
      </c>
      <c r="F69" s="1">
        <v>0.437</v>
      </c>
      <c r="H69" s="1">
        <v>9</v>
      </c>
      <c r="I69" s="1">
        <v>71.83</v>
      </c>
      <c r="J69" s="1">
        <v>21</v>
      </c>
      <c r="K69" s="1">
        <v>50.83</v>
      </c>
      <c r="L69" s="1">
        <v>2.2000000000000002</v>
      </c>
      <c r="M69" s="1">
        <v>0.996</v>
      </c>
    </row>
    <row r="70" spans="1:13" x14ac:dyDescent="0.3">
      <c r="A70" s="1">
        <v>10</v>
      </c>
      <c r="B70" s="4">
        <v>3.32</v>
      </c>
      <c r="C70" s="1">
        <v>20</v>
      </c>
      <c r="D70" s="4">
        <v>16.68</v>
      </c>
      <c r="E70" s="1">
        <v>1.26</v>
      </c>
      <c r="F70" s="1">
        <v>0.38</v>
      </c>
      <c r="H70" s="1">
        <v>10</v>
      </c>
      <c r="I70" s="4">
        <v>51.72</v>
      </c>
      <c r="J70" s="1">
        <v>20</v>
      </c>
      <c r="K70" s="4">
        <v>31.72</v>
      </c>
      <c r="L70" s="1">
        <v>2.4300000000000002</v>
      </c>
      <c r="M70" s="1">
        <v>1.07</v>
      </c>
    </row>
    <row r="71" spans="1:13" x14ac:dyDescent="0.3">
      <c r="D71" s="3">
        <f>AVERAGE(D61:D70)</f>
        <v>16.948</v>
      </c>
      <c r="E71" s="3">
        <f>AVERAGE(E61:E70)</f>
        <v>1.353</v>
      </c>
      <c r="F71" s="3">
        <f>AVERAGE(F61:F70)</f>
        <v>0.44820000000000004</v>
      </c>
      <c r="K71" s="3">
        <f>AVERAGE(K61:K70)</f>
        <v>44.981999999999992</v>
      </c>
      <c r="L71" s="3">
        <f>AVERAGE(L61:L70)</f>
        <v>2.3729999999999998</v>
      </c>
      <c r="M71" s="3">
        <f>AVERAGE(M61:M70)</f>
        <v>1.0314000000000001</v>
      </c>
    </row>
    <row r="73" spans="1:13" x14ac:dyDescent="0.3">
      <c r="A73" s="5" t="s">
        <v>18</v>
      </c>
      <c r="B73" s="5"/>
      <c r="C73" s="5"/>
      <c r="D73" s="5"/>
      <c r="E73" s="5"/>
      <c r="H73" s="5" t="s">
        <v>19</v>
      </c>
      <c r="I73" s="5"/>
      <c r="J73" s="5"/>
      <c r="K73" s="5"/>
      <c r="L73" s="5"/>
    </row>
    <row r="74" spans="1:13" x14ac:dyDescent="0.3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F74" s="2" t="s">
        <v>6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M74" s="2" t="s">
        <v>6</v>
      </c>
    </row>
    <row r="75" spans="1:13" x14ac:dyDescent="0.3">
      <c r="A75" s="1">
        <v>1</v>
      </c>
      <c r="B75" s="1">
        <v>7.31</v>
      </c>
      <c r="C75" s="1">
        <v>20</v>
      </c>
      <c r="D75" s="1">
        <v>12.69</v>
      </c>
      <c r="E75" s="1">
        <v>1.06</v>
      </c>
      <c r="F75" s="1">
        <v>0.121</v>
      </c>
      <c r="H75" s="1">
        <v>1</v>
      </c>
      <c r="I75" s="1">
        <v>65.69</v>
      </c>
      <c r="J75" s="1">
        <v>20</v>
      </c>
      <c r="K75" s="1">
        <v>45.69</v>
      </c>
      <c r="L75" s="1">
        <v>2.17</v>
      </c>
      <c r="M75" s="1">
        <v>0.74199999999999999</v>
      </c>
    </row>
    <row r="76" spans="1:13" x14ac:dyDescent="0.3">
      <c r="A76" s="1">
        <v>2</v>
      </c>
      <c r="B76" s="1">
        <v>6.03</v>
      </c>
      <c r="C76" s="1">
        <v>22</v>
      </c>
      <c r="D76" s="1">
        <v>15.97</v>
      </c>
      <c r="E76" s="1">
        <v>1.08</v>
      </c>
      <c r="F76" s="1">
        <v>0.17299999999999999</v>
      </c>
      <c r="H76" s="1">
        <v>2</v>
      </c>
      <c r="I76" s="1">
        <v>69.55</v>
      </c>
      <c r="J76" s="1">
        <v>20</v>
      </c>
      <c r="K76" s="1">
        <v>49.55</v>
      </c>
      <c r="L76" s="1">
        <v>2.2400000000000002</v>
      </c>
      <c r="M76" s="1">
        <v>0.72699999999999998</v>
      </c>
    </row>
    <row r="77" spans="1:13" x14ac:dyDescent="0.3">
      <c r="A77" s="1">
        <v>3</v>
      </c>
      <c r="B77" s="1">
        <v>6.21</v>
      </c>
      <c r="C77" s="1">
        <v>21</v>
      </c>
      <c r="D77" s="1">
        <v>14.79</v>
      </c>
      <c r="E77" s="1">
        <v>1.05</v>
      </c>
      <c r="F77" s="1">
        <v>0.106</v>
      </c>
      <c r="H77" s="1">
        <v>3</v>
      </c>
      <c r="I77" s="1">
        <v>64.22</v>
      </c>
      <c r="J77" s="1">
        <v>20</v>
      </c>
      <c r="K77" s="1">
        <v>44.22</v>
      </c>
      <c r="L77" s="1">
        <v>2.2000000000000002</v>
      </c>
      <c r="M77" s="1">
        <v>0.77600000000000002</v>
      </c>
    </row>
    <row r="78" spans="1:13" x14ac:dyDescent="0.3">
      <c r="A78" s="1">
        <v>4</v>
      </c>
      <c r="B78" s="1">
        <v>7.23</v>
      </c>
      <c r="C78" s="1">
        <v>21</v>
      </c>
      <c r="D78" s="1">
        <v>13.77</v>
      </c>
      <c r="E78" s="1">
        <v>1.04</v>
      </c>
      <c r="F78" s="1">
        <v>8.7999999999999995E-2</v>
      </c>
      <c r="H78" s="1">
        <v>4</v>
      </c>
      <c r="I78" s="1">
        <v>65.180000000000007</v>
      </c>
      <c r="J78" s="1">
        <v>20</v>
      </c>
      <c r="K78" s="1">
        <v>45.18</v>
      </c>
      <c r="L78" s="1">
        <v>2.2000000000000002</v>
      </c>
      <c r="M78" s="1">
        <v>0.76300000000000001</v>
      </c>
    </row>
    <row r="79" spans="1:13" x14ac:dyDescent="0.3">
      <c r="A79" s="1">
        <v>5</v>
      </c>
      <c r="B79" s="1">
        <v>6.6</v>
      </c>
      <c r="C79" s="1">
        <v>20</v>
      </c>
      <c r="D79" s="1">
        <v>13.4</v>
      </c>
      <c r="E79" s="1">
        <v>1.06</v>
      </c>
      <c r="F79" s="1">
        <v>0.14099999999999999</v>
      </c>
      <c r="H79" s="1">
        <v>5</v>
      </c>
      <c r="I79" s="1">
        <v>57.4</v>
      </c>
      <c r="J79" s="1">
        <v>20</v>
      </c>
      <c r="K79" s="1">
        <v>37.4</v>
      </c>
      <c r="L79" s="1">
        <v>2.25</v>
      </c>
      <c r="M79" s="1">
        <v>0.81</v>
      </c>
    </row>
    <row r="80" spans="1:13" x14ac:dyDescent="0.3">
      <c r="A80" s="1">
        <v>6</v>
      </c>
      <c r="B80" s="1">
        <v>6.43</v>
      </c>
      <c r="C80" s="1">
        <v>21</v>
      </c>
      <c r="D80" s="1">
        <v>14.57</v>
      </c>
      <c r="E80" s="1">
        <v>1.08</v>
      </c>
      <c r="F80" s="1">
        <v>0.16200000000000001</v>
      </c>
      <c r="H80" s="1">
        <v>6</v>
      </c>
      <c r="I80" s="1">
        <v>36.35</v>
      </c>
      <c r="J80" s="1">
        <v>20</v>
      </c>
      <c r="K80" s="1">
        <v>16.350000000000001</v>
      </c>
      <c r="L80" s="1">
        <v>2.2599999999999998</v>
      </c>
      <c r="M80" s="1">
        <v>0.82399999999999995</v>
      </c>
    </row>
    <row r="81" spans="1:13" x14ac:dyDescent="0.3">
      <c r="A81" s="1">
        <v>7</v>
      </c>
      <c r="B81" s="1">
        <v>6.07</v>
      </c>
      <c r="C81" s="1">
        <v>19</v>
      </c>
      <c r="D81" s="1">
        <v>12.93</v>
      </c>
      <c r="E81" s="1">
        <v>1.08</v>
      </c>
      <c r="F81" s="1">
        <v>0.17</v>
      </c>
      <c r="H81" s="1">
        <v>7</v>
      </c>
      <c r="I81" s="1">
        <v>58.85</v>
      </c>
      <c r="J81" s="1">
        <v>20</v>
      </c>
      <c r="K81" s="1">
        <v>38.85</v>
      </c>
      <c r="L81" s="1">
        <v>2.17</v>
      </c>
      <c r="M81" s="1">
        <v>0.81299999999999994</v>
      </c>
    </row>
    <row r="82" spans="1:13" x14ac:dyDescent="0.3">
      <c r="A82" s="1">
        <v>8</v>
      </c>
      <c r="B82" s="1">
        <v>6.59</v>
      </c>
      <c r="C82" s="1">
        <v>20</v>
      </c>
      <c r="D82" s="1">
        <v>13.41</v>
      </c>
      <c r="E82" s="1">
        <v>1.06</v>
      </c>
      <c r="F82" s="1">
        <v>0.129</v>
      </c>
      <c r="H82" s="1">
        <v>8</v>
      </c>
      <c r="I82" s="1">
        <v>67.02</v>
      </c>
      <c r="J82" s="1">
        <v>19</v>
      </c>
      <c r="K82" s="1">
        <v>48.02</v>
      </c>
      <c r="L82" s="1">
        <v>2.16</v>
      </c>
      <c r="M82" s="1">
        <v>0.72399999999999998</v>
      </c>
    </row>
    <row r="83" spans="1:13" x14ac:dyDescent="0.3">
      <c r="A83" s="1">
        <v>9</v>
      </c>
      <c r="B83" s="1">
        <v>6.49</v>
      </c>
      <c r="C83" s="1">
        <v>20</v>
      </c>
      <c r="D83" s="1">
        <v>13.51</v>
      </c>
      <c r="E83" s="1">
        <v>1.08</v>
      </c>
      <c r="F83" s="1">
        <v>0.16800000000000001</v>
      </c>
      <c r="H83" s="1">
        <v>9</v>
      </c>
      <c r="I83" s="1">
        <v>57.09</v>
      </c>
      <c r="J83" s="1">
        <v>19</v>
      </c>
      <c r="K83" s="1">
        <v>38.090000000000003</v>
      </c>
      <c r="L83" s="1">
        <v>2.2200000000000002</v>
      </c>
      <c r="M83" s="1">
        <v>0.80400000000000005</v>
      </c>
    </row>
    <row r="84" spans="1:13" x14ac:dyDescent="0.3">
      <c r="A84" s="1">
        <v>10</v>
      </c>
      <c r="B84" s="4">
        <v>6.35</v>
      </c>
      <c r="C84" s="1">
        <v>20</v>
      </c>
      <c r="D84" s="4">
        <v>13.65</v>
      </c>
      <c r="E84" s="1">
        <v>1.06</v>
      </c>
      <c r="F84" s="1">
        <v>0.129</v>
      </c>
      <c r="H84" s="1">
        <v>10</v>
      </c>
      <c r="I84" s="4">
        <v>46.86</v>
      </c>
      <c r="J84" s="1">
        <v>20</v>
      </c>
      <c r="K84" s="4">
        <v>26.86</v>
      </c>
      <c r="L84" s="1">
        <v>2.36</v>
      </c>
      <c r="M84" s="1">
        <v>0.92400000000000004</v>
      </c>
    </row>
    <row r="85" spans="1:13" x14ac:dyDescent="0.3">
      <c r="D85" s="3">
        <f>AVERAGE(D75:D84)</f>
        <v>13.869</v>
      </c>
      <c r="E85" s="3">
        <f>AVERAGE(E75:E84)</f>
        <v>1.0650000000000002</v>
      </c>
      <c r="F85" s="3">
        <f>AVERAGE(F75:F84)</f>
        <v>0.13869999999999999</v>
      </c>
      <c r="K85" s="3">
        <f>AVERAGE(K75:K84)</f>
        <v>39.021000000000001</v>
      </c>
      <c r="L85" s="3">
        <f>AVERAGE(L75:L84)</f>
        <v>2.2229999999999999</v>
      </c>
      <c r="M85" s="3">
        <f>AVERAGE(M75:M84)</f>
        <v>0.79070000000000007</v>
      </c>
    </row>
    <row r="87" spans="1:13" ht="26.25" x14ac:dyDescent="0.3">
      <c r="A87" s="7" t="s">
        <v>12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9" spans="1:13" x14ac:dyDescent="0.3">
      <c r="A89" s="5" t="s">
        <v>0</v>
      </c>
      <c r="B89" s="5"/>
      <c r="C89" s="5"/>
      <c r="D89" s="5"/>
      <c r="E89" s="5"/>
      <c r="H89" s="6" t="s">
        <v>7</v>
      </c>
      <c r="I89" s="6"/>
      <c r="J89" s="6"/>
      <c r="K89" s="6"/>
      <c r="L89" s="6"/>
      <c r="M89" s="6"/>
    </row>
    <row r="90" spans="1:13" x14ac:dyDescent="0.3">
      <c r="A90" s="2" t="s">
        <v>1</v>
      </c>
      <c r="B90" s="2" t="s">
        <v>2</v>
      </c>
      <c r="C90" s="2" t="s">
        <v>3</v>
      </c>
      <c r="D90" s="2" t="s">
        <v>4</v>
      </c>
      <c r="E90" s="2" t="s">
        <v>5</v>
      </c>
      <c r="F90" s="2" t="s">
        <v>6</v>
      </c>
      <c r="H90" s="2" t="s">
        <v>1</v>
      </c>
      <c r="I90" s="2" t="s">
        <v>2</v>
      </c>
      <c r="J90" s="2" t="s">
        <v>3</v>
      </c>
      <c r="K90" s="2" t="s">
        <v>4</v>
      </c>
      <c r="L90" s="2" t="s">
        <v>5</v>
      </c>
      <c r="M90" s="2" t="s">
        <v>6</v>
      </c>
    </row>
    <row r="91" spans="1:13" x14ac:dyDescent="0.3">
      <c r="A91" s="1">
        <v>1</v>
      </c>
      <c r="B91" s="1">
        <v>17.55</v>
      </c>
      <c r="C91" s="1">
        <v>20</v>
      </c>
      <c r="D91" s="1">
        <v>2.4500000000000002</v>
      </c>
      <c r="E91" s="1">
        <v>1.04</v>
      </c>
      <c r="F91" s="1">
        <v>8.5000000000000006E-2</v>
      </c>
      <c r="H91" s="1">
        <v>1</v>
      </c>
      <c r="I91" s="1">
        <v>18.57</v>
      </c>
      <c r="J91" s="1">
        <v>21</v>
      </c>
      <c r="K91" s="1">
        <v>2.4300000000000002</v>
      </c>
      <c r="L91" s="1">
        <v>1</v>
      </c>
      <c r="M91" s="1">
        <v>1.4999999999999999E-2</v>
      </c>
    </row>
    <row r="92" spans="1:13" x14ac:dyDescent="0.3">
      <c r="A92" s="1">
        <v>2</v>
      </c>
      <c r="B92" s="1">
        <v>18.64</v>
      </c>
      <c r="C92" s="1">
        <v>20</v>
      </c>
      <c r="D92" s="1">
        <v>1.36</v>
      </c>
      <c r="E92" s="1">
        <v>1.1200000000000001</v>
      </c>
      <c r="F92" s="1">
        <v>0.16600000000000001</v>
      </c>
      <c r="H92" s="1">
        <v>2</v>
      </c>
      <c r="I92" s="1">
        <v>18.34</v>
      </c>
      <c r="J92" s="1">
        <v>19</v>
      </c>
      <c r="K92" s="1">
        <v>0.66</v>
      </c>
      <c r="L92" s="1">
        <v>1.01</v>
      </c>
      <c r="M92" s="1">
        <v>1.7999999999999999E-2</v>
      </c>
    </row>
    <row r="93" spans="1:13" x14ac:dyDescent="0.3">
      <c r="A93" s="1">
        <v>3</v>
      </c>
      <c r="B93" s="1">
        <v>19.14</v>
      </c>
      <c r="C93" s="1">
        <v>20</v>
      </c>
      <c r="D93" s="1">
        <v>0.85</v>
      </c>
      <c r="E93" s="1">
        <v>1.1200000000000001</v>
      </c>
      <c r="F93" s="1">
        <v>0.16800000000000001</v>
      </c>
      <c r="H93" s="1">
        <v>3</v>
      </c>
      <c r="I93" s="1">
        <v>20.71</v>
      </c>
      <c r="J93" s="1">
        <v>21</v>
      </c>
      <c r="K93" s="1">
        <v>0.28999999999999998</v>
      </c>
      <c r="L93" s="1">
        <v>1</v>
      </c>
      <c r="M93" s="1">
        <v>8.0000000000000002E-3</v>
      </c>
    </row>
    <row r="94" spans="1:13" x14ac:dyDescent="0.3">
      <c r="A94" s="1">
        <v>4</v>
      </c>
      <c r="B94" s="1">
        <v>18.28</v>
      </c>
      <c r="C94" s="1">
        <v>20</v>
      </c>
      <c r="D94" s="1">
        <v>1.72</v>
      </c>
      <c r="E94" s="1">
        <v>1.1100000000000001</v>
      </c>
      <c r="F94" s="1">
        <v>0.14899999999999999</v>
      </c>
      <c r="H94" s="1">
        <v>4</v>
      </c>
      <c r="I94" s="1">
        <v>20.93</v>
      </c>
      <c r="J94" s="1">
        <v>20</v>
      </c>
      <c r="K94" s="1">
        <v>0.93</v>
      </c>
      <c r="L94" s="1">
        <v>1</v>
      </c>
      <c r="M94" s="1">
        <v>7.0000000000000001E-3</v>
      </c>
    </row>
    <row r="95" spans="1:13" x14ac:dyDescent="0.3">
      <c r="A95" s="1">
        <v>5</v>
      </c>
      <c r="B95" s="1">
        <v>16.600000000000001</v>
      </c>
      <c r="C95" s="1">
        <v>20</v>
      </c>
      <c r="D95" s="1">
        <v>3.4</v>
      </c>
      <c r="E95" s="1">
        <v>1.06</v>
      </c>
      <c r="F95" s="1">
        <v>0.114</v>
      </c>
      <c r="H95" s="1">
        <v>5</v>
      </c>
      <c r="I95" s="1">
        <v>16.63</v>
      </c>
      <c r="J95" s="1">
        <v>20</v>
      </c>
      <c r="K95" s="1">
        <v>3.3780000000000001</v>
      </c>
      <c r="L95" s="1">
        <v>1</v>
      </c>
      <c r="M95" s="1">
        <v>8.0000000000000002E-3</v>
      </c>
    </row>
    <row r="96" spans="1:13" x14ac:dyDescent="0.3">
      <c r="A96" s="1">
        <v>6</v>
      </c>
      <c r="B96" s="1">
        <v>12.12</v>
      </c>
      <c r="C96" s="1">
        <v>20</v>
      </c>
      <c r="D96" s="1">
        <v>7.88</v>
      </c>
      <c r="E96" s="1">
        <v>1.06</v>
      </c>
      <c r="F96" s="1">
        <v>0.114</v>
      </c>
      <c r="H96" s="1">
        <v>6</v>
      </c>
      <c r="I96" s="1">
        <v>13.68</v>
      </c>
      <c r="J96" s="1">
        <v>20</v>
      </c>
      <c r="K96" s="1">
        <v>6.32</v>
      </c>
      <c r="L96" s="1">
        <v>1</v>
      </c>
      <c r="M96" s="1">
        <v>1.2E-2</v>
      </c>
    </row>
    <row r="97" spans="1:13" x14ac:dyDescent="0.3">
      <c r="A97" s="1">
        <v>7</v>
      </c>
      <c r="B97" s="1">
        <v>14.68</v>
      </c>
      <c r="C97" s="1">
        <v>20</v>
      </c>
      <c r="D97" s="1">
        <v>5.32</v>
      </c>
      <c r="E97" s="1">
        <v>1.0900000000000001</v>
      </c>
      <c r="F97" s="1">
        <v>0.14000000000000001</v>
      </c>
      <c r="H97" s="1">
        <v>7</v>
      </c>
      <c r="I97" s="1">
        <v>18.489999999999998</v>
      </c>
      <c r="J97" s="1">
        <v>20</v>
      </c>
      <c r="K97" s="1">
        <v>1.51</v>
      </c>
      <c r="L97" s="1">
        <v>1</v>
      </c>
      <c r="M97" s="1">
        <v>1.4E-2</v>
      </c>
    </row>
    <row r="98" spans="1:13" x14ac:dyDescent="0.3">
      <c r="A98" s="1">
        <v>8</v>
      </c>
      <c r="B98" s="1">
        <v>15.95</v>
      </c>
      <c r="C98" s="1">
        <v>19</v>
      </c>
      <c r="D98" s="1">
        <v>3.05</v>
      </c>
      <c r="E98" s="1">
        <v>1.08</v>
      </c>
      <c r="F98" s="1">
        <v>0.13900000000000001</v>
      </c>
      <c r="H98" s="1">
        <v>8</v>
      </c>
      <c r="I98" s="4">
        <v>13.32</v>
      </c>
      <c r="J98" s="1">
        <v>21</v>
      </c>
      <c r="K98" s="4">
        <v>7.68</v>
      </c>
      <c r="L98" s="1">
        <v>1</v>
      </c>
      <c r="M98" s="1">
        <v>1.2E-2</v>
      </c>
    </row>
    <row r="99" spans="1:13" x14ac:dyDescent="0.3">
      <c r="A99" s="1">
        <v>9</v>
      </c>
      <c r="B99" s="1">
        <v>15.41</v>
      </c>
      <c r="C99" s="1">
        <v>19</v>
      </c>
      <c r="D99" s="1">
        <v>3.59</v>
      </c>
      <c r="E99" s="1">
        <v>1.1100000000000001</v>
      </c>
      <c r="F99" s="1">
        <v>0.158</v>
      </c>
      <c r="H99" s="1">
        <v>9</v>
      </c>
      <c r="I99" s="1">
        <v>15.04</v>
      </c>
      <c r="J99" s="1">
        <v>21</v>
      </c>
      <c r="K99" s="1">
        <v>5.96</v>
      </c>
      <c r="L99" s="1">
        <v>1.01</v>
      </c>
      <c r="M99" s="1">
        <v>2.5000000000000001E-2</v>
      </c>
    </row>
    <row r="100" spans="1:13" x14ac:dyDescent="0.3">
      <c r="A100" s="1">
        <v>10</v>
      </c>
      <c r="B100" s="4">
        <v>14.89</v>
      </c>
      <c r="C100" s="1">
        <v>20</v>
      </c>
      <c r="D100" s="4">
        <v>5.1100000000000003</v>
      </c>
      <c r="E100" s="1">
        <v>1.1299999999999999</v>
      </c>
      <c r="F100" s="1">
        <v>0.186</v>
      </c>
      <c r="H100" s="1">
        <v>10</v>
      </c>
      <c r="I100" s="4">
        <v>14.13</v>
      </c>
      <c r="J100" s="1">
        <v>20</v>
      </c>
      <c r="K100" s="4">
        <v>5.87</v>
      </c>
      <c r="L100" s="1">
        <v>1.01</v>
      </c>
      <c r="M100" s="1">
        <v>2.1000000000000001E-2</v>
      </c>
    </row>
    <row r="101" spans="1:13" x14ac:dyDescent="0.3">
      <c r="D101" s="3">
        <f>AVERAGE(D91:D100)</f>
        <v>3.4730000000000003</v>
      </c>
      <c r="E101" s="3">
        <f>AVERAGE(E91:E100)</f>
        <v>1.0920000000000001</v>
      </c>
      <c r="F101" s="3">
        <f>AVERAGE(F91:F100)</f>
        <v>0.1419</v>
      </c>
      <c r="K101" s="3">
        <f>AVERAGE(K91:K100)</f>
        <v>3.5027999999999997</v>
      </c>
      <c r="L101" s="3">
        <f>AVERAGE(L91:L100)</f>
        <v>1.0029999999999999</v>
      </c>
      <c r="M101" s="3">
        <f>AVERAGE(M91:M100)</f>
        <v>1.3999999999999999E-2</v>
      </c>
    </row>
    <row r="103" spans="1:13" x14ac:dyDescent="0.3">
      <c r="A103" s="5" t="s">
        <v>8</v>
      </c>
      <c r="B103" s="5"/>
      <c r="C103" s="5"/>
      <c r="D103" s="5"/>
      <c r="E103" s="5"/>
      <c r="H103" s="5" t="s">
        <v>9</v>
      </c>
      <c r="I103" s="5"/>
      <c r="J103" s="5"/>
      <c r="K103" s="5"/>
      <c r="L103" s="5"/>
    </row>
    <row r="104" spans="1:13" x14ac:dyDescent="0.3">
      <c r="A104" s="2" t="s">
        <v>1</v>
      </c>
      <c r="B104" s="2" t="s">
        <v>2</v>
      </c>
      <c r="C104" s="2" t="s">
        <v>3</v>
      </c>
      <c r="D104" s="2" t="s">
        <v>4</v>
      </c>
      <c r="E104" s="2" t="s">
        <v>5</v>
      </c>
      <c r="F104" s="2" t="s">
        <v>6</v>
      </c>
      <c r="H104" s="2" t="s">
        <v>1</v>
      </c>
      <c r="I104" s="2" t="s">
        <v>2</v>
      </c>
      <c r="J104" s="2" t="s">
        <v>3</v>
      </c>
      <c r="K104" s="2" t="s">
        <v>4</v>
      </c>
      <c r="L104" s="2" t="s">
        <v>5</v>
      </c>
      <c r="M104" s="2" t="s">
        <v>6</v>
      </c>
    </row>
    <row r="105" spans="1:13" x14ac:dyDescent="0.3">
      <c r="A105" s="1">
        <v>1</v>
      </c>
      <c r="B105" s="1">
        <v>21.04</v>
      </c>
      <c r="C105" s="1">
        <v>20</v>
      </c>
      <c r="D105" s="1">
        <v>1.04</v>
      </c>
      <c r="E105" s="1">
        <v>1.08</v>
      </c>
      <c r="F105" s="1">
        <v>0.14799999999999999</v>
      </c>
      <c r="H105" s="1">
        <v>1</v>
      </c>
      <c r="I105" s="1">
        <v>14.87</v>
      </c>
      <c r="J105" s="1">
        <v>21</v>
      </c>
      <c r="K105" s="1">
        <v>6.13</v>
      </c>
      <c r="L105" s="1">
        <v>1.05</v>
      </c>
      <c r="M105" s="1">
        <v>9.5000000000000001E-2</v>
      </c>
    </row>
    <row r="106" spans="1:13" x14ac:dyDescent="0.3">
      <c r="A106" s="1">
        <v>2</v>
      </c>
      <c r="B106" s="1">
        <v>23.01</v>
      </c>
      <c r="C106" s="1">
        <v>21</v>
      </c>
      <c r="D106" s="1">
        <v>2.0099999999999998</v>
      </c>
      <c r="E106" s="1">
        <v>1.08</v>
      </c>
      <c r="F106" s="1">
        <v>0.16500000000000001</v>
      </c>
      <c r="H106" s="1">
        <v>2</v>
      </c>
      <c r="I106" s="1">
        <v>17.190000000000001</v>
      </c>
      <c r="J106" s="1">
        <v>19</v>
      </c>
      <c r="K106" s="1">
        <v>1.81</v>
      </c>
      <c r="L106" s="1">
        <v>1.05</v>
      </c>
      <c r="M106" s="1">
        <v>0.104</v>
      </c>
    </row>
    <row r="107" spans="1:13" x14ac:dyDescent="0.3">
      <c r="A107" s="1">
        <v>3</v>
      </c>
      <c r="B107" s="1">
        <v>22.66</v>
      </c>
      <c r="C107" s="1">
        <v>21</v>
      </c>
      <c r="D107" s="1">
        <v>1.66</v>
      </c>
      <c r="E107" s="1">
        <v>1.06</v>
      </c>
      <c r="F107" s="1">
        <v>0.13400000000000001</v>
      </c>
      <c r="H107" s="1">
        <v>3</v>
      </c>
      <c r="I107" s="1">
        <v>18.79</v>
      </c>
      <c r="J107" s="1">
        <v>21</v>
      </c>
      <c r="K107" s="1">
        <v>2.21</v>
      </c>
      <c r="L107" s="1">
        <v>1.02</v>
      </c>
      <c r="M107" s="1">
        <v>4.1000000000000002E-2</v>
      </c>
    </row>
    <row r="108" spans="1:13" x14ac:dyDescent="0.3">
      <c r="A108" s="1">
        <v>4</v>
      </c>
      <c r="B108" s="1">
        <v>19.64</v>
      </c>
      <c r="C108" s="1">
        <v>19</v>
      </c>
      <c r="D108" s="1">
        <v>0.64</v>
      </c>
      <c r="E108" s="1">
        <v>1.06</v>
      </c>
      <c r="F108" s="1">
        <v>0.123</v>
      </c>
      <c r="H108" s="1">
        <v>4</v>
      </c>
      <c r="I108" s="1">
        <v>20.3</v>
      </c>
      <c r="J108" s="1">
        <v>20</v>
      </c>
      <c r="K108" s="1">
        <v>0.3</v>
      </c>
      <c r="L108" s="1">
        <v>1.01</v>
      </c>
      <c r="M108" s="1">
        <v>2.9000000000000001E-2</v>
      </c>
    </row>
    <row r="109" spans="1:13" x14ac:dyDescent="0.3">
      <c r="A109" s="1">
        <v>5</v>
      </c>
      <c r="B109" s="1">
        <v>15.39</v>
      </c>
      <c r="C109" s="1">
        <v>20</v>
      </c>
      <c r="D109" s="1">
        <v>4.6100000000000003</v>
      </c>
      <c r="E109" s="1">
        <v>1.23</v>
      </c>
      <c r="F109" s="1">
        <v>0.34699999999999998</v>
      </c>
      <c r="H109" s="1">
        <v>5</v>
      </c>
      <c r="I109" s="1">
        <v>13.16</v>
      </c>
      <c r="J109" s="1">
        <v>20</v>
      </c>
      <c r="K109" s="1">
        <v>6.84</v>
      </c>
      <c r="L109" s="1">
        <v>1.06</v>
      </c>
      <c r="M109" s="1">
        <v>0.128</v>
      </c>
    </row>
    <row r="110" spans="1:13" x14ac:dyDescent="0.3">
      <c r="A110" s="1">
        <v>6</v>
      </c>
      <c r="B110" s="1">
        <v>13.88</v>
      </c>
      <c r="C110" s="1">
        <v>20</v>
      </c>
      <c r="D110" s="1">
        <v>6.12</v>
      </c>
      <c r="E110" s="1">
        <v>1.0900000000000001</v>
      </c>
      <c r="F110" s="1">
        <v>0.18</v>
      </c>
      <c r="H110" s="1">
        <v>6</v>
      </c>
      <c r="I110" s="1">
        <v>13.64</v>
      </c>
      <c r="J110" s="1">
        <v>20</v>
      </c>
      <c r="K110" s="1">
        <v>6.36</v>
      </c>
      <c r="L110" s="1">
        <v>1.01</v>
      </c>
      <c r="M110" s="1">
        <v>2.7E-2</v>
      </c>
    </row>
    <row r="111" spans="1:13" x14ac:dyDescent="0.3">
      <c r="A111" s="1">
        <v>7</v>
      </c>
      <c r="B111" s="1">
        <v>16.350000000000001</v>
      </c>
      <c r="C111" s="1">
        <v>21</v>
      </c>
      <c r="D111" s="1">
        <v>4.6500000000000004</v>
      </c>
      <c r="E111" s="1">
        <v>1.17</v>
      </c>
      <c r="F111" s="1">
        <v>0.26800000000000002</v>
      </c>
      <c r="H111" s="1">
        <v>7</v>
      </c>
      <c r="I111" s="1">
        <v>19.5</v>
      </c>
      <c r="J111" s="1">
        <v>20</v>
      </c>
      <c r="K111" s="1">
        <v>0.5</v>
      </c>
      <c r="L111" s="1">
        <v>1.01</v>
      </c>
      <c r="M111" s="1">
        <v>3.5000000000000003E-2</v>
      </c>
    </row>
    <row r="112" spans="1:13" x14ac:dyDescent="0.3">
      <c r="A112" s="1">
        <v>8</v>
      </c>
      <c r="B112" s="1">
        <v>15.94</v>
      </c>
      <c r="C112" s="1">
        <v>21</v>
      </c>
      <c r="D112" s="1">
        <v>5.0599999999999996</v>
      </c>
      <c r="E112" s="1">
        <v>1.1399999999999999</v>
      </c>
      <c r="F112" s="1">
        <v>0.23499999999999999</v>
      </c>
      <c r="H112" s="1">
        <v>8</v>
      </c>
      <c r="I112" s="1">
        <v>10.31</v>
      </c>
      <c r="J112" s="1">
        <v>21</v>
      </c>
      <c r="K112" s="1">
        <v>10.69</v>
      </c>
      <c r="L112" s="1">
        <v>1.04</v>
      </c>
      <c r="M112" s="1">
        <v>9.7000000000000003E-2</v>
      </c>
    </row>
    <row r="113" spans="1:13" x14ac:dyDescent="0.3">
      <c r="A113" s="1">
        <v>9</v>
      </c>
      <c r="B113" s="1">
        <v>21.91</v>
      </c>
      <c r="C113" s="1">
        <v>21</v>
      </c>
      <c r="D113" s="1">
        <v>0.91</v>
      </c>
      <c r="E113" s="1">
        <v>1.21</v>
      </c>
      <c r="F113" s="1">
        <v>0.28799999999999998</v>
      </c>
      <c r="H113" s="1">
        <v>9</v>
      </c>
      <c r="I113" s="1">
        <v>14.64</v>
      </c>
      <c r="J113" s="1">
        <v>21</v>
      </c>
      <c r="K113" s="1">
        <v>6.36</v>
      </c>
      <c r="L113" s="1">
        <v>1.03</v>
      </c>
      <c r="M113" s="1">
        <v>7.0999999999999994E-2</v>
      </c>
    </row>
    <row r="114" spans="1:13" x14ac:dyDescent="0.3">
      <c r="A114" s="1">
        <v>10</v>
      </c>
      <c r="B114" s="4">
        <v>21.23</v>
      </c>
      <c r="C114" s="1">
        <v>21</v>
      </c>
      <c r="D114" s="4">
        <v>0.23</v>
      </c>
      <c r="E114" s="1">
        <v>1.23</v>
      </c>
      <c r="F114" s="1">
        <v>0.3</v>
      </c>
      <c r="H114" s="1">
        <v>10</v>
      </c>
      <c r="I114" s="4">
        <v>16.059999999999999</v>
      </c>
      <c r="J114" s="1">
        <v>20</v>
      </c>
      <c r="K114" s="4">
        <v>3.94</v>
      </c>
      <c r="L114" s="1">
        <v>1.03</v>
      </c>
      <c r="M114" s="1">
        <v>7.0999999999999994E-2</v>
      </c>
    </row>
    <row r="115" spans="1:13" x14ac:dyDescent="0.3">
      <c r="D115" s="3">
        <f>AVERAGE(D105:D114)</f>
        <v>2.6930000000000005</v>
      </c>
      <c r="E115" s="3">
        <f>AVERAGE(E105:E114)</f>
        <v>1.1350000000000002</v>
      </c>
      <c r="F115" s="3">
        <f>AVERAGE(F105:F114)</f>
        <v>0.21880000000000002</v>
      </c>
      <c r="K115" s="3">
        <f>AVERAGE(K105:K114)</f>
        <v>4.5139999999999993</v>
      </c>
      <c r="L115" s="3">
        <f>AVERAGE(L105:L114)</f>
        <v>1.0309999999999999</v>
      </c>
      <c r="M115" s="3">
        <f>AVERAGE(M105:M114)</f>
        <v>6.9800000000000001E-2</v>
      </c>
    </row>
    <row r="116" spans="1:13" x14ac:dyDescent="0.3">
      <c r="C116" s="9"/>
      <c r="D116" s="10"/>
      <c r="E116" s="10"/>
      <c r="F116" s="10"/>
      <c r="G116" s="9"/>
      <c r="H116" s="9"/>
      <c r="I116" s="9"/>
      <c r="J116" s="9"/>
      <c r="K116" s="10"/>
      <c r="L116" s="10"/>
      <c r="M116" s="10"/>
    </row>
    <row r="117" spans="1:13" x14ac:dyDescent="0.3">
      <c r="A117" s="5" t="s">
        <v>14</v>
      </c>
      <c r="B117" s="5"/>
      <c r="C117" s="5"/>
      <c r="D117" s="5"/>
      <c r="E117" s="5"/>
      <c r="G117" s="9"/>
      <c r="H117" s="5" t="s">
        <v>15</v>
      </c>
      <c r="I117" s="5"/>
      <c r="J117" s="5"/>
      <c r="K117" s="5"/>
      <c r="L117" s="5"/>
    </row>
    <row r="118" spans="1:13" x14ac:dyDescent="0.3">
      <c r="A118" s="2" t="s">
        <v>1</v>
      </c>
      <c r="B118" s="2" t="s">
        <v>2</v>
      </c>
      <c r="C118" s="2" t="s">
        <v>3</v>
      </c>
      <c r="D118" s="2" t="s">
        <v>4</v>
      </c>
      <c r="E118" s="2" t="s">
        <v>5</v>
      </c>
      <c r="F118" s="2" t="s">
        <v>6</v>
      </c>
      <c r="G118" s="9"/>
      <c r="H118" s="2" t="s">
        <v>1</v>
      </c>
      <c r="I118" s="2" t="s">
        <v>2</v>
      </c>
      <c r="J118" s="2" t="s">
        <v>3</v>
      </c>
      <c r="K118" s="2" t="s">
        <v>4</v>
      </c>
      <c r="L118" s="2" t="s">
        <v>5</v>
      </c>
      <c r="M118" s="2" t="s">
        <v>6</v>
      </c>
    </row>
    <row r="119" spans="1:13" x14ac:dyDescent="0.3">
      <c r="A119" s="1">
        <v>1</v>
      </c>
      <c r="B119" s="1">
        <v>23.62</v>
      </c>
      <c r="C119" s="1">
        <v>20</v>
      </c>
      <c r="D119" s="1">
        <v>3.62</v>
      </c>
      <c r="E119" s="1">
        <v>1.01</v>
      </c>
      <c r="F119" s="1">
        <v>0.02</v>
      </c>
      <c r="G119" s="9"/>
      <c r="H119" s="1">
        <v>1</v>
      </c>
      <c r="I119" s="1">
        <v>15.1</v>
      </c>
      <c r="J119" s="1">
        <v>20</v>
      </c>
      <c r="K119" s="1">
        <v>4.9000000000000004</v>
      </c>
      <c r="L119" s="1">
        <v>1.0900000000000001</v>
      </c>
      <c r="M119" s="1">
        <v>0.121</v>
      </c>
    </row>
    <row r="120" spans="1:13" x14ac:dyDescent="0.3">
      <c r="A120" s="1">
        <v>2</v>
      </c>
      <c r="B120" s="1">
        <v>21.3</v>
      </c>
      <c r="C120" s="1">
        <v>21</v>
      </c>
      <c r="D120" s="1">
        <v>0.3</v>
      </c>
      <c r="E120" s="1">
        <v>1.01</v>
      </c>
      <c r="F120" s="1">
        <v>2.3E-2</v>
      </c>
      <c r="G120" s="9"/>
      <c r="H120" s="1">
        <v>2</v>
      </c>
      <c r="I120" s="1">
        <v>15.1</v>
      </c>
      <c r="J120" s="1">
        <v>20</v>
      </c>
      <c r="K120" s="1">
        <v>4.9000000000000004</v>
      </c>
      <c r="L120" s="1">
        <v>1.34</v>
      </c>
      <c r="M120" s="1">
        <v>0.217</v>
      </c>
    </row>
    <row r="121" spans="1:13" x14ac:dyDescent="0.3">
      <c r="A121" s="1">
        <v>3</v>
      </c>
      <c r="B121" s="1">
        <v>19.46</v>
      </c>
      <c r="C121" s="1">
        <v>21</v>
      </c>
      <c r="D121" s="1">
        <v>1.54</v>
      </c>
      <c r="E121" s="1">
        <v>1.01</v>
      </c>
      <c r="F121" s="1">
        <v>2.5999999999999999E-2</v>
      </c>
      <c r="G121" s="9"/>
      <c r="H121" s="1">
        <v>3</v>
      </c>
      <c r="I121" s="1">
        <v>16.420000000000002</v>
      </c>
      <c r="J121" s="1">
        <v>20</v>
      </c>
      <c r="K121" s="1">
        <v>3.58</v>
      </c>
      <c r="L121" s="1">
        <v>1.21</v>
      </c>
      <c r="M121" s="1">
        <v>0.187</v>
      </c>
    </row>
    <row r="122" spans="1:13" x14ac:dyDescent="0.3">
      <c r="A122" s="1">
        <v>4</v>
      </c>
      <c r="B122" s="1">
        <v>19.36</v>
      </c>
      <c r="C122" s="1">
        <v>19</v>
      </c>
      <c r="D122" s="1">
        <v>0.36</v>
      </c>
      <c r="E122" s="1">
        <v>1.01</v>
      </c>
      <c r="F122" s="1">
        <v>2.3E-2</v>
      </c>
      <c r="G122" s="9"/>
      <c r="H122" s="1">
        <v>4</v>
      </c>
      <c r="I122" s="1">
        <v>15.81</v>
      </c>
      <c r="J122" s="1">
        <v>20</v>
      </c>
      <c r="K122" s="1">
        <v>4.1900000000000004</v>
      </c>
      <c r="L122" s="1">
        <v>1.1499999999999999</v>
      </c>
      <c r="M122" s="1">
        <v>0.16</v>
      </c>
    </row>
    <row r="123" spans="1:13" x14ac:dyDescent="0.3">
      <c r="A123" s="1">
        <v>5</v>
      </c>
      <c r="B123" s="1">
        <v>16.059999999999999</v>
      </c>
      <c r="C123" s="1">
        <v>20</v>
      </c>
      <c r="D123" s="1">
        <v>3.94</v>
      </c>
      <c r="E123" s="1">
        <v>1</v>
      </c>
      <c r="F123" s="1">
        <v>1.6E-2</v>
      </c>
      <c r="G123" s="9"/>
      <c r="H123" s="1">
        <v>5</v>
      </c>
      <c r="I123" s="1">
        <v>14.45</v>
      </c>
      <c r="J123" s="1">
        <v>20</v>
      </c>
      <c r="K123" s="1">
        <v>5.55</v>
      </c>
      <c r="L123" s="1">
        <v>1.06</v>
      </c>
      <c r="M123" s="1">
        <v>9.2999999999999999E-2</v>
      </c>
    </row>
    <row r="124" spans="1:13" x14ac:dyDescent="0.3">
      <c r="A124" s="1">
        <v>6</v>
      </c>
      <c r="B124" s="1">
        <v>13.11</v>
      </c>
      <c r="C124" s="1">
        <v>20</v>
      </c>
      <c r="D124" s="1">
        <v>6.89</v>
      </c>
      <c r="E124" s="1">
        <v>1</v>
      </c>
      <c r="F124" s="1">
        <v>1.7000000000000001E-2</v>
      </c>
      <c r="G124" s="9"/>
      <c r="H124" s="1">
        <v>6</v>
      </c>
      <c r="I124" s="1">
        <v>10.79</v>
      </c>
      <c r="J124" s="1">
        <v>20</v>
      </c>
      <c r="K124" s="1">
        <v>9.2100000000000009</v>
      </c>
      <c r="L124" s="1">
        <v>1.1100000000000001</v>
      </c>
      <c r="M124" s="1">
        <v>0.13800000000000001</v>
      </c>
    </row>
    <row r="125" spans="1:13" x14ac:dyDescent="0.3">
      <c r="A125" s="1">
        <v>7</v>
      </c>
      <c r="B125" s="1">
        <v>16.82</v>
      </c>
      <c r="C125" s="1">
        <v>21</v>
      </c>
      <c r="D125" s="1">
        <v>4.18</v>
      </c>
      <c r="E125" s="1">
        <v>1.01</v>
      </c>
      <c r="F125" s="1">
        <v>0.03</v>
      </c>
      <c r="G125" s="9"/>
      <c r="H125" s="1">
        <v>7</v>
      </c>
      <c r="I125" s="1">
        <v>13.64</v>
      </c>
      <c r="J125" s="1">
        <v>20</v>
      </c>
      <c r="K125" s="1">
        <v>6.36</v>
      </c>
      <c r="L125" s="1">
        <v>1.0900000000000001</v>
      </c>
      <c r="M125" s="1">
        <v>0.127</v>
      </c>
    </row>
    <row r="126" spans="1:13" x14ac:dyDescent="0.3">
      <c r="A126" s="1">
        <v>8</v>
      </c>
      <c r="B126" s="1">
        <v>15.19</v>
      </c>
      <c r="C126" s="1">
        <v>21</v>
      </c>
      <c r="D126" s="1">
        <v>5.81</v>
      </c>
      <c r="E126" s="1">
        <v>1.01</v>
      </c>
      <c r="F126" s="1">
        <v>2.8000000000000001E-2</v>
      </c>
      <c r="G126" s="9"/>
      <c r="H126" s="1">
        <v>8</v>
      </c>
      <c r="I126" s="1">
        <v>13.75</v>
      </c>
      <c r="J126" s="1">
        <v>19</v>
      </c>
      <c r="K126" s="1">
        <v>5.25</v>
      </c>
      <c r="L126" s="1">
        <v>1.08</v>
      </c>
      <c r="M126" s="1">
        <v>0.111</v>
      </c>
    </row>
    <row r="127" spans="1:13" x14ac:dyDescent="0.3">
      <c r="A127" s="1">
        <v>9</v>
      </c>
      <c r="B127" s="1">
        <v>17.03</v>
      </c>
      <c r="C127" s="1">
        <v>21</v>
      </c>
      <c r="D127" s="1">
        <v>3.97</v>
      </c>
      <c r="E127" s="1">
        <v>1.01</v>
      </c>
      <c r="F127" s="1">
        <v>1.7999999999999999E-2</v>
      </c>
      <c r="G127" s="9"/>
      <c r="H127" s="1">
        <v>9</v>
      </c>
      <c r="I127" s="1">
        <v>14.49</v>
      </c>
      <c r="J127" s="1">
        <v>19</v>
      </c>
      <c r="K127" s="1">
        <v>4.51</v>
      </c>
      <c r="L127" s="1">
        <v>1.1000000000000001</v>
      </c>
      <c r="M127" s="1">
        <v>0.124</v>
      </c>
    </row>
    <row r="128" spans="1:13" x14ac:dyDescent="0.3">
      <c r="A128" s="1">
        <v>10</v>
      </c>
      <c r="B128" s="4">
        <v>16.489999999999998</v>
      </c>
      <c r="C128" s="1">
        <v>21</v>
      </c>
      <c r="D128" s="4">
        <v>4.51</v>
      </c>
      <c r="E128" s="1">
        <v>1.01</v>
      </c>
      <c r="F128" s="1">
        <v>2.3E-2</v>
      </c>
      <c r="G128" s="9"/>
      <c r="H128" s="1">
        <v>10</v>
      </c>
      <c r="I128" s="4">
        <v>13.2</v>
      </c>
      <c r="J128" s="1">
        <v>20</v>
      </c>
      <c r="K128" s="4">
        <v>6.8</v>
      </c>
      <c r="L128" s="1">
        <v>1.1200000000000001</v>
      </c>
      <c r="M128" s="1">
        <v>0.158</v>
      </c>
    </row>
    <row r="129" spans="1:13" x14ac:dyDescent="0.3">
      <c r="D129" s="3">
        <f>AVERAGE(D119:D128)</f>
        <v>3.5119999999999996</v>
      </c>
      <c r="E129" s="3">
        <f>AVERAGE(E119:E128)</f>
        <v>1.008</v>
      </c>
      <c r="F129" s="3">
        <f>AVERAGE(F119:F128)</f>
        <v>2.2399999999999996E-2</v>
      </c>
      <c r="G129" s="9"/>
      <c r="K129" s="3">
        <f>AVERAGE(K119:K128)</f>
        <v>5.5249999999999995</v>
      </c>
      <c r="L129" s="3">
        <f>AVERAGE(L119:L128)</f>
        <v>1.1350000000000002</v>
      </c>
      <c r="M129" s="3">
        <f>AVERAGE(M119:M128)</f>
        <v>0.14360000000000001</v>
      </c>
    </row>
    <row r="131" spans="1:13" x14ac:dyDescent="0.3">
      <c r="A131" s="5" t="s">
        <v>10</v>
      </c>
      <c r="B131" s="5"/>
      <c r="C131" s="5"/>
      <c r="D131" s="5"/>
      <c r="E131" s="5"/>
      <c r="H131" s="5" t="s">
        <v>11</v>
      </c>
      <c r="I131" s="5"/>
      <c r="J131" s="5"/>
      <c r="K131" s="5"/>
      <c r="L131" s="5"/>
    </row>
    <row r="132" spans="1:13" x14ac:dyDescent="0.3">
      <c r="A132" s="2" t="s">
        <v>1</v>
      </c>
      <c r="B132" s="2" t="s">
        <v>2</v>
      </c>
      <c r="C132" s="2" t="s">
        <v>3</v>
      </c>
      <c r="D132" s="2" t="s">
        <v>4</v>
      </c>
      <c r="E132" s="2" t="s">
        <v>5</v>
      </c>
      <c r="F132" s="2" t="s">
        <v>6</v>
      </c>
      <c r="H132" s="2" t="s">
        <v>1</v>
      </c>
      <c r="I132" s="2" t="s">
        <v>2</v>
      </c>
      <c r="J132" s="2" t="s">
        <v>3</v>
      </c>
      <c r="K132" s="2" t="s">
        <v>4</v>
      </c>
      <c r="L132" s="2" t="s">
        <v>5</v>
      </c>
      <c r="M132" s="2" t="s">
        <v>6</v>
      </c>
    </row>
    <row r="133" spans="1:13" x14ac:dyDescent="0.3">
      <c r="A133" s="1">
        <v>1</v>
      </c>
      <c r="B133" s="1">
        <v>5.78</v>
      </c>
      <c r="C133" s="1">
        <v>20</v>
      </c>
      <c r="D133" s="1">
        <v>14.22</v>
      </c>
      <c r="E133" s="1">
        <v>1.03</v>
      </c>
      <c r="F133" s="1">
        <v>7.1999999999999995E-2</v>
      </c>
      <c r="H133" s="1">
        <v>1</v>
      </c>
      <c r="I133" s="1">
        <v>68.680000000000007</v>
      </c>
      <c r="J133" s="1">
        <v>20</v>
      </c>
      <c r="K133" s="1">
        <v>48.68</v>
      </c>
      <c r="L133" s="1">
        <v>1.74</v>
      </c>
      <c r="M133" s="1">
        <v>0.60399999999999998</v>
      </c>
    </row>
    <row r="134" spans="1:13" x14ac:dyDescent="0.3">
      <c r="A134" s="1">
        <v>2</v>
      </c>
      <c r="B134" s="1">
        <v>5.21</v>
      </c>
      <c r="C134" s="1">
        <v>22</v>
      </c>
      <c r="D134" s="1">
        <v>16.79</v>
      </c>
      <c r="E134" s="1">
        <v>1.06</v>
      </c>
      <c r="F134" s="1">
        <v>0.09</v>
      </c>
      <c r="H134" s="1">
        <v>2</v>
      </c>
      <c r="I134" s="1">
        <v>56.97</v>
      </c>
      <c r="J134" s="1">
        <v>21</v>
      </c>
      <c r="K134" s="1">
        <v>35.97</v>
      </c>
      <c r="L134" s="1">
        <v>1.66</v>
      </c>
      <c r="M134" s="1">
        <v>0.70399999999999996</v>
      </c>
    </row>
    <row r="135" spans="1:13" x14ac:dyDescent="0.3">
      <c r="A135" s="1">
        <v>3</v>
      </c>
      <c r="B135" s="1">
        <v>5.76</v>
      </c>
      <c r="C135" s="1">
        <v>21</v>
      </c>
      <c r="D135" s="1">
        <v>15.24</v>
      </c>
      <c r="E135" s="1">
        <v>1.05</v>
      </c>
      <c r="F135" s="1">
        <v>7.0999999999999994E-2</v>
      </c>
      <c r="H135" s="1">
        <v>3</v>
      </c>
      <c r="I135" s="1">
        <v>60.53</v>
      </c>
      <c r="J135" s="1">
        <v>21</v>
      </c>
      <c r="K135" s="1">
        <v>39.53</v>
      </c>
      <c r="L135" s="1">
        <v>1.64</v>
      </c>
      <c r="M135" s="1">
        <v>0.67200000000000004</v>
      </c>
    </row>
    <row r="136" spans="1:13" x14ac:dyDescent="0.3">
      <c r="A136" s="1">
        <v>4</v>
      </c>
      <c r="B136" s="1">
        <v>5.7</v>
      </c>
      <c r="C136" s="1">
        <v>21</v>
      </c>
      <c r="D136" s="1">
        <v>15.3</v>
      </c>
      <c r="E136" s="1">
        <v>1.05</v>
      </c>
      <c r="F136" s="1">
        <v>7.3999999999999996E-2</v>
      </c>
      <c r="H136" s="1">
        <v>4</v>
      </c>
      <c r="I136" s="1">
        <v>55.22</v>
      </c>
      <c r="J136" s="1">
        <v>19</v>
      </c>
      <c r="K136" s="1">
        <v>36.22</v>
      </c>
      <c r="L136" s="1">
        <v>1.63</v>
      </c>
      <c r="M136" s="1">
        <v>0.622</v>
      </c>
    </row>
    <row r="137" spans="1:13" x14ac:dyDescent="0.3">
      <c r="A137" s="1">
        <v>5</v>
      </c>
      <c r="B137" s="1">
        <v>4.79</v>
      </c>
      <c r="C137" s="1">
        <v>20</v>
      </c>
      <c r="D137" s="1">
        <v>15.03</v>
      </c>
      <c r="E137" s="1">
        <v>1.05</v>
      </c>
      <c r="F137" s="1">
        <v>0.113</v>
      </c>
      <c r="H137" s="1">
        <v>5</v>
      </c>
      <c r="I137" s="1">
        <v>45.97</v>
      </c>
      <c r="J137" s="1">
        <v>20</v>
      </c>
      <c r="K137" s="1">
        <v>25.97</v>
      </c>
      <c r="L137" s="1">
        <v>1.94</v>
      </c>
      <c r="M137" s="1">
        <v>0.79400000000000004</v>
      </c>
    </row>
    <row r="138" spans="1:13" x14ac:dyDescent="0.3">
      <c r="A138" s="1">
        <v>6</v>
      </c>
      <c r="B138" s="1">
        <v>5.47</v>
      </c>
      <c r="C138" s="1">
        <v>21</v>
      </c>
      <c r="D138" s="1">
        <v>15.51</v>
      </c>
      <c r="E138" s="1">
        <v>1.04</v>
      </c>
      <c r="F138" s="1">
        <v>7.0000000000000007E-2</v>
      </c>
      <c r="H138" s="1">
        <v>6</v>
      </c>
      <c r="I138" s="1">
        <v>41.87</v>
      </c>
      <c r="J138" s="1">
        <v>20</v>
      </c>
      <c r="K138" s="1">
        <v>21.87</v>
      </c>
      <c r="L138" s="1">
        <v>1.68</v>
      </c>
      <c r="M138" s="1">
        <v>0.67700000000000005</v>
      </c>
    </row>
    <row r="139" spans="1:13" x14ac:dyDescent="0.3">
      <c r="A139" s="1">
        <v>7</v>
      </c>
      <c r="B139" s="1">
        <v>5.69</v>
      </c>
      <c r="C139" s="1">
        <v>19</v>
      </c>
      <c r="D139" s="1">
        <v>13.33</v>
      </c>
      <c r="E139" s="1">
        <v>1.05</v>
      </c>
      <c r="F139" s="1">
        <v>0.08</v>
      </c>
      <c r="H139" s="1">
        <v>7</v>
      </c>
      <c r="I139" s="1">
        <v>48.74</v>
      </c>
      <c r="J139" s="1">
        <v>21</v>
      </c>
      <c r="K139" s="1">
        <v>27.74</v>
      </c>
      <c r="L139" s="1">
        <v>1.98</v>
      </c>
      <c r="M139" s="1">
        <v>0.74099999999999999</v>
      </c>
    </row>
    <row r="140" spans="1:13" x14ac:dyDescent="0.3">
      <c r="A140" s="1">
        <v>8</v>
      </c>
      <c r="B140" s="1">
        <v>5.21</v>
      </c>
      <c r="C140" s="1">
        <v>20</v>
      </c>
      <c r="D140" s="1">
        <v>14.79</v>
      </c>
      <c r="E140" s="1">
        <v>1.06</v>
      </c>
      <c r="F140" s="1">
        <v>0.10199999999999999</v>
      </c>
      <c r="H140" s="1">
        <v>8</v>
      </c>
      <c r="I140" s="1">
        <v>45.14</v>
      </c>
      <c r="J140" s="1">
        <v>21</v>
      </c>
      <c r="K140" s="1">
        <v>24.14</v>
      </c>
      <c r="L140" s="1">
        <v>1.77</v>
      </c>
      <c r="M140" s="1">
        <v>0.71299999999999997</v>
      </c>
    </row>
    <row r="141" spans="1:13" x14ac:dyDescent="0.3">
      <c r="A141" s="1">
        <v>9</v>
      </c>
      <c r="B141" s="1">
        <v>5.87</v>
      </c>
      <c r="C141" s="1">
        <v>20</v>
      </c>
      <c r="D141" s="1">
        <v>14.13</v>
      </c>
      <c r="E141" s="1">
        <v>1.05</v>
      </c>
      <c r="F141" s="1">
        <v>8.8999999999999996E-2</v>
      </c>
      <c r="H141" s="1">
        <v>9</v>
      </c>
      <c r="I141" s="1">
        <v>51.27</v>
      </c>
      <c r="J141" s="1">
        <v>21</v>
      </c>
      <c r="K141" s="1">
        <v>30.27</v>
      </c>
      <c r="L141" s="1">
        <v>1.97</v>
      </c>
      <c r="M141" s="1">
        <v>0.745</v>
      </c>
    </row>
    <row r="142" spans="1:13" x14ac:dyDescent="0.3">
      <c r="A142" s="1">
        <v>10</v>
      </c>
      <c r="B142" s="4">
        <v>5.54</v>
      </c>
      <c r="C142" s="1">
        <v>20</v>
      </c>
      <c r="D142" s="4">
        <v>14.46</v>
      </c>
      <c r="E142" s="1">
        <v>1.06</v>
      </c>
      <c r="F142" s="1">
        <v>9.9000000000000005E-2</v>
      </c>
      <c r="H142" s="1">
        <v>10</v>
      </c>
      <c r="I142" s="4">
        <v>45.2</v>
      </c>
      <c r="J142" s="1">
        <v>21</v>
      </c>
      <c r="K142" s="4">
        <v>24.2</v>
      </c>
      <c r="L142" s="1">
        <v>2.12</v>
      </c>
      <c r="M142" s="1">
        <v>0.80600000000000005</v>
      </c>
    </row>
    <row r="143" spans="1:13" x14ac:dyDescent="0.3">
      <c r="D143" s="3">
        <f>AVERAGE(D133:D142)</f>
        <v>14.88</v>
      </c>
      <c r="E143" s="3">
        <f>AVERAGE(E133:E142)</f>
        <v>1.05</v>
      </c>
      <c r="F143" s="3">
        <f>AVERAGE(F133:F142)</f>
        <v>8.5999999999999993E-2</v>
      </c>
      <c r="K143" s="3">
        <f>AVERAGE(K133:K142)</f>
        <v>31.458999999999996</v>
      </c>
      <c r="L143" s="3">
        <f>AVERAGE(L133:L142)</f>
        <v>1.8129999999999999</v>
      </c>
      <c r="M143" s="3">
        <f>AVERAGE(M133:M142)</f>
        <v>0.70779999999999998</v>
      </c>
    </row>
    <row r="145" spans="1:13" x14ac:dyDescent="0.3">
      <c r="A145" s="5" t="s">
        <v>16</v>
      </c>
      <c r="B145" s="5"/>
      <c r="C145" s="5"/>
      <c r="D145" s="5"/>
      <c r="E145" s="5"/>
      <c r="H145" s="6" t="s">
        <v>17</v>
      </c>
      <c r="I145" s="6"/>
      <c r="J145" s="6"/>
      <c r="K145" s="6"/>
      <c r="L145" s="6"/>
      <c r="M145" s="6"/>
    </row>
    <row r="146" spans="1:13" x14ac:dyDescent="0.3">
      <c r="A146" s="2" t="s">
        <v>1</v>
      </c>
      <c r="B146" s="2" t="s">
        <v>2</v>
      </c>
      <c r="C146" s="2" t="s">
        <v>3</v>
      </c>
      <c r="D146" s="2" t="s">
        <v>4</v>
      </c>
      <c r="E146" s="2" t="s">
        <v>5</v>
      </c>
      <c r="F146" s="2" t="s">
        <v>6</v>
      </c>
      <c r="H146" s="2" t="s">
        <v>1</v>
      </c>
      <c r="I146" s="2" t="s">
        <v>2</v>
      </c>
      <c r="J146" s="2" t="s">
        <v>3</v>
      </c>
      <c r="K146" s="2" t="s">
        <v>4</v>
      </c>
      <c r="L146" s="2" t="s">
        <v>5</v>
      </c>
      <c r="M146" s="2" t="s">
        <v>6</v>
      </c>
    </row>
    <row r="147" spans="1:13" x14ac:dyDescent="0.3">
      <c r="A147" s="1">
        <v>1</v>
      </c>
      <c r="B147" s="1">
        <v>6.24</v>
      </c>
      <c r="C147" s="1">
        <v>20</v>
      </c>
      <c r="D147" s="1">
        <v>13.76</v>
      </c>
      <c r="E147" s="1">
        <v>1.07</v>
      </c>
      <c r="F147" s="1">
        <v>0.14599999999999999</v>
      </c>
      <c r="H147" s="1">
        <v>1</v>
      </c>
      <c r="I147" s="1">
        <v>73.83</v>
      </c>
      <c r="J147" s="1">
        <v>21</v>
      </c>
      <c r="K147" s="1">
        <v>52.83</v>
      </c>
      <c r="L147" s="1">
        <v>1.27</v>
      </c>
      <c r="M147" s="1">
        <v>0.40600000000000003</v>
      </c>
    </row>
    <row r="148" spans="1:13" x14ac:dyDescent="0.3">
      <c r="A148" s="1">
        <v>2</v>
      </c>
      <c r="B148" s="1">
        <v>6.37</v>
      </c>
      <c r="C148" s="1">
        <v>22</v>
      </c>
      <c r="D148" s="1">
        <v>15.63</v>
      </c>
      <c r="E148" s="1">
        <v>1.04</v>
      </c>
      <c r="F148" s="1">
        <v>9.0999999999999998E-2</v>
      </c>
      <c r="H148" s="1">
        <v>2</v>
      </c>
      <c r="I148" s="1">
        <v>48.34</v>
      </c>
      <c r="J148" s="1">
        <v>19</v>
      </c>
      <c r="K148" s="1">
        <v>29.34</v>
      </c>
      <c r="L148" s="1">
        <v>1.67</v>
      </c>
      <c r="M148" s="1">
        <v>0.68600000000000005</v>
      </c>
    </row>
    <row r="149" spans="1:13" x14ac:dyDescent="0.3">
      <c r="A149" s="1">
        <v>3</v>
      </c>
      <c r="B149" s="1">
        <v>6.64</v>
      </c>
      <c r="C149" s="1">
        <v>21</v>
      </c>
      <c r="D149" s="1">
        <v>14.36</v>
      </c>
      <c r="E149" s="1">
        <v>1.03</v>
      </c>
      <c r="F149" s="1">
        <v>6.9000000000000006E-2</v>
      </c>
      <c r="H149" s="1">
        <v>3</v>
      </c>
      <c r="I149" s="1">
        <v>54.53</v>
      </c>
      <c r="J149" s="1">
        <v>21</v>
      </c>
      <c r="K149" s="1">
        <v>33.53</v>
      </c>
      <c r="L149" s="1">
        <v>1.44</v>
      </c>
      <c r="M149" s="1">
        <v>0.53900000000000003</v>
      </c>
    </row>
    <row r="150" spans="1:13" x14ac:dyDescent="0.3">
      <c r="A150" s="1">
        <v>4</v>
      </c>
      <c r="B150" s="1">
        <v>6.83</v>
      </c>
      <c r="C150" s="1">
        <v>21</v>
      </c>
      <c r="D150" s="1">
        <v>14.17</v>
      </c>
      <c r="E150" s="1">
        <v>1.03</v>
      </c>
      <c r="F150" s="1">
        <v>7.4999999999999997E-2</v>
      </c>
      <c r="H150" s="1">
        <v>4</v>
      </c>
      <c r="I150" s="1">
        <v>65.77</v>
      </c>
      <c r="J150" s="1">
        <v>20</v>
      </c>
      <c r="K150" s="1">
        <v>45.77</v>
      </c>
      <c r="L150" s="1">
        <v>1.4</v>
      </c>
      <c r="M150" s="1">
        <v>0.52600000000000002</v>
      </c>
    </row>
    <row r="151" spans="1:13" x14ac:dyDescent="0.3">
      <c r="A151" s="1">
        <v>5</v>
      </c>
      <c r="B151" s="1">
        <v>5.84</v>
      </c>
      <c r="C151" s="1">
        <v>20</v>
      </c>
      <c r="D151" s="1">
        <v>14.16</v>
      </c>
      <c r="E151" s="1">
        <v>1.07</v>
      </c>
      <c r="F151" s="1">
        <v>0.14899999999999999</v>
      </c>
      <c r="H151" s="1">
        <v>5</v>
      </c>
      <c r="I151" s="1">
        <v>50.06</v>
      </c>
      <c r="J151" s="1">
        <v>20</v>
      </c>
      <c r="K151" s="1">
        <v>30.06</v>
      </c>
      <c r="L151" s="1">
        <v>1.66</v>
      </c>
      <c r="M151" s="1">
        <v>0.64700000000000002</v>
      </c>
    </row>
    <row r="152" spans="1:13" x14ac:dyDescent="0.3">
      <c r="A152" s="1">
        <v>6</v>
      </c>
      <c r="B152" s="1">
        <v>6.13</v>
      </c>
      <c r="C152" s="1">
        <v>21</v>
      </c>
      <c r="D152" s="1">
        <v>14.87</v>
      </c>
      <c r="E152" s="1">
        <v>1.04</v>
      </c>
      <c r="F152" s="1">
        <v>8.5000000000000006E-2</v>
      </c>
      <c r="H152" s="1">
        <v>6</v>
      </c>
      <c r="I152" s="1">
        <v>50.73</v>
      </c>
      <c r="J152" s="1">
        <v>20</v>
      </c>
      <c r="K152" s="1">
        <v>30.73</v>
      </c>
      <c r="L152" s="1">
        <v>1.32</v>
      </c>
      <c r="M152" s="1">
        <v>0.47399999999999998</v>
      </c>
    </row>
    <row r="153" spans="1:13" x14ac:dyDescent="0.3">
      <c r="A153" s="1">
        <v>7</v>
      </c>
      <c r="B153" s="1">
        <v>6.69</v>
      </c>
      <c r="C153" s="1">
        <v>19</v>
      </c>
      <c r="D153" s="1">
        <v>12.31</v>
      </c>
      <c r="E153" s="1">
        <v>1.04</v>
      </c>
      <c r="F153" s="1">
        <v>8.7999999999999995E-2</v>
      </c>
      <c r="H153" s="1">
        <v>7</v>
      </c>
      <c r="I153" s="1">
        <v>63.13</v>
      </c>
      <c r="J153" s="1">
        <v>20</v>
      </c>
      <c r="K153" s="1">
        <v>43.13</v>
      </c>
      <c r="L153" s="1">
        <v>1.39</v>
      </c>
      <c r="M153" s="1">
        <v>0.52900000000000003</v>
      </c>
    </row>
    <row r="154" spans="1:13" x14ac:dyDescent="0.3">
      <c r="A154" s="1">
        <v>8</v>
      </c>
      <c r="B154" s="1">
        <v>6.99</v>
      </c>
      <c r="C154" s="1">
        <v>20</v>
      </c>
      <c r="D154" s="1">
        <v>13.01</v>
      </c>
      <c r="E154" s="1">
        <v>1.05</v>
      </c>
      <c r="F154" s="1">
        <v>0.108</v>
      </c>
      <c r="H154" s="1">
        <v>8</v>
      </c>
      <c r="I154" s="4">
        <v>45.6</v>
      </c>
      <c r="J154" s="1">
        <v>21</v>
      </c>
      <c r="K154" s="4">
        <v>24.6</v>
      </c>
      <c r="L154" s="1">
        <v>1.49</v>
      </c>
      <c r="M154" s="1">
        <v>0.55900000000000005</v>
      </c>
    </row>
    <row r="155" spans="1:13" x14ac:dyDescent="0.3">
      <c r="A155" s="1">
        <v>9</v>
      </c>
      <c r="B155" s="1">
        <v>7.73</v>
      </c>
      <c r="C155" s="1">
        <v>20</v>
      </c>
      <c r="D155" s="1">
        <v>12.27</v>
      </c>
      <c r="E155" s="1">
        <v>1.03</v>
      </c>
      <c r="F155" s="1">
        <v>8.2000000000000003E-2</v>
      </c>
      <c r="H155" s="1">
        <v>9</v>
      </c>
      <c r="I155" s="1">
        <v>76.58</v>
      </c>
      <c r="J155" s="1">
        <v>21</v>
      </c>
      <c r="K155" s="1">
        <v>55.58</v>
      </c>
      <c r="L155" s="1">
        <v>1.3</v>
      </c>
      <c r="M155" s="1">
        <v>0.45900000000000002</v>
      </c>
    </row>
    <row r="156" spans="1:13" x14ac:dyDescent="0.3">
      <c r="A156" s="1">
        <v>10</v>
      </c>
      <c r="B156" s="4">
        <v>7.31</v>
      </c>
      <c r="C156" s="1">
        <v>20</v>
      </c>
      <c r="D156" s="4">
        <v>12.69</v>
      </c>
      <c r="E156" s="1">
        <v>1.03</v>
      </c>
      <c r="F156" s="1">
        <v>7.1999999999999995E-2</v>
      </c>
      <c r="H156" s="1">
        <v>10</v>
      </c>
      <c r="I156" s="4">
        <v>48.78</v>
      </c>
      <c r="J156" s="1">
        <v>20</v>
      </c>
      <c r="K156" s="4">
        <v>28.78</v>
      </c>
      <c r="L156" s="1">
        <v>1.56</v>
      </c>
      <c r="M156" s="1">
        <v>0.61199999999999999</v>
      </c>
    </row>
    <row r="157" spans="1:13" x14ac:dyDescent="0.3">
      <c r="D157" s="3">
        <f>AVERAGE(D147:D156)</f>
        <v>13.723000000000003</v>
      </c>
      <c r="E157" s="3">
        <f>AVERAGE(E147:E156)</f>
        <v>1.0429999999999999</v>
      </c>
      <c r="F157" s="3">
        <f>AVERAGE(F147:F156)</f>
        <v>9.6499999999999989E-2</v>
      </c>
      <c r="K157" s="3">
        <f>AVERAGE(K147:K156)</f>
        <v>37.435000000000002</v>
      </c>
      <c r="L157" s="3">
        <f>AVERAGE(L147:L156)</f>
        <v>1.4500000000000002</v>
      </c>
      <c r="M157" s="3">
        <f>AVERAGE(M147:M156)</f>
        <v>0.54370000000000007</v>
      </c>
    </row>
    <row r="159" spans="1:13" x14ac:dyDescent="0.3">
      <c r="A159" s="5" t="s">
        <v>18</v>
      </c>
      <c r="B159" s="5"/>
      <c r="C159" s="5"/>
      <c r="D159" s="5"/>
      <c r="E159" s="5"/>
      <c r="H159" s="5" t="s">
        <v>19</v>
      </c>
      <c r="I159" s="5"/>
      <c r="J159" s="5"/>
      <c r="K159" s="5"/>
      <c r="L159" s="5"/>
    </row>
    <row r="160" spans="1:13" x14ac:dyDescent="0.3">
      <c r="A160" s="2" t="s">
        <v>1</v>
      </c>
      <c r="B160" s="2" t="s">
        <v>2</v>
      </c>
      <c r="C160" s="2" t="s">
        <v>3</v>
      </c>
      <c r="D160" s="2" t="s">
        <v>4</v>
      </c>
      <c r="E160" s="2" t="s">
        <v>5</v>
      </c>
      <c r="F160" s="2" t="s">
        <v>6</v>
      </c>
      <c r="H160" s="2" t="s">
        <v>1</v>
      </c>
      <c r="I160" s="2" t="s">
        <v>2</v>
      </c>
      <c r="J160" s="2" t="s">
        <v>3</v>
      </c>
      <c r="K160" s="2" t="s">
        <v>4</v>
      </c>
      <c r="L160" s="2" t="s">
        <v>5</v>
      </c>
      <c r="M160" s="2" t="s">
        <v>6</v>
      </c>
    </row>
    <row r="161" spans="1:13" x14ac:dyDescent="0.3">
      <c r="A161" s="1">
        <v>1</v>
      </c>
      <c r="B161" s="1">
        <v>6.63</v>
      </c>
      <c r="C161" s="1">
        <v>20</v>
      </c>
      <c r="D161" s="1">
        <v>13.37</v>
      </c>
      <c r="E161" s="1">
        <v>1.02</v>
      </c>
      <c r="F161" s="1">
        <v>5.1999999999999998E-2</v>
      </c>
      <c r="H161" s="1">
        <v>1</v>
      </c>
      <c r="I161" s="1">
        <v>59.54</v>
      </c>
      <c r="J161" s="1">
        <v>20</v>
      </c>
      <c r="K161" s="1">
        <v>39.54</v>
      </c>
      <c r="L161" s="1">
        <v>1.69</v>
      </c>
      <c r="M161" s="1">
        <v>0.498</v>
      </c>
    </row>
    <row r="162" spans="1:13" x14ac:dyDescent="0.3">
      <c r="A162" s="1">
        <v>2</v>
      </c>
      <c r="B162" s="1">
        <v>6.62</v>
      </c>
      <c r="C162" s="1">
        <v>22</v>
      </c>
      <c r="D162" s="1">
        <v>15.38</v>
      </c>
      <c r="E162" s="1">
        <v>1.01</v>
      </c>
      <c r="F162" s="1">
        <v>1.9E-2</v>
      </c>
      <c r="H162" s="1">
        <v>2</v>
      </c>
      <c r="I162" s="1">
        <v>58.77</v>
      </c>
      <c r="J162" s="1">
        <v>20</v>
      </c>
      <c r="K162" s="1">
        <v>38.770000000000003</v>
      </c>
      <c r="L162" s="1">
        <v>1.89</v>
      </c>
      <c r="M162" s="1">
        <v>0.55700000000000005</v>
      </c>
    </row>
    <row r="163" spans="1:13" x14ac:dyDescent="0.3">
      <c r="A163" s="1">
        <v>3</v>
      </c>
      <c r="B163" s="1">
        <v>6.63</v>
      </c>
      <c r="C163" s="1">
        <v>21</v>
      </c>
      <c r="D163" s="1">
        <v>14.37</v>
      </c>
      <c r="E163" s="1">
        <v>1.01</v>
      </c>
      <c r="F163" s="1">
        <v>2.1000000000000001E-2</v>
      </c>
      <c r="H163" s="1">
        <v>3</v>
      </c>
      <c r="I163" s="1">
        <v>63.26</v>
      </c>
      <c r="J163" s="1">
        <v>20</v>
      </c>
      <c r="K163" s="1">
        <v>43.26</v>
      </c>
      <c r="L163" s="1">
        <v>1.74</v>
      </c>
      <c r="M163" s="1">
        <v>0.52</v>
      </c>
    </row>
    <row r="164" spans="1:13" x14ac:dyDescent="0.3">
      <c r="A164" s="1">
        <v>4</v>
      </c>
      <c r="B164" s="1">
        <v>6.62</v>
      </c>
      <c r="C164" s="1">
        <v>21</v>
      </c>
      <c r="D164" s="1">
        <v>14.38</v>
      </c>
      <c r="E164" s="1">
        <v>1.01</v>
      </c>
      <c r="F164" s="1">
        <v>1.9E-2</v>
      </c>
      <c r="H164" s="1">
        <v>4</v>
      </c>
      <c r="I164" s="1">
        <v>62.42</v>
      </c>
      <c r="J164" s="1">
        <v>20</v>
      </c>
      <c r="K164" s="1">
        <v>42.42</v>
      </c>
      <c r="L164" s="1">
        <v>1.69</v>
      </c>
      <c r="M164" s="1">
        <v>0.54600000000000004</v>
      </c>
    </row>
    <row r="165" spans="1:13" x14ac:dyDescent="0.3">
      <c r="A165" s="1">
        <v>5</v>
      </c>
      <c r="B165" s="1">
        <v>6.13</v>
      </c>
      <c r="C165" s="1">
        <v>20</v>
      </c>
      <c r="D165" s="1">
        <v>13.87</v>
      </c>
      <c r="E165" s="1">
        <v>1.04</v>
      </c>
      <c r="F165" s="1">
        <v>8.7999999999999995E-2</v>
      </c>
      <c r="H165" s="1">
        <v>5</v>
      </c>
      <c r="I165" s="1">
        <v>56.7</v>
      </c>
      <c r="J165" s="1">
        <v>20</v>
      </c>
      <c r="K165" s="1">
        <v>36.700000000000003</v>
      </c>
      <c r="L165" s="1">
        <v>1.59</v>
      </c>
      <c r="M165" s="1">
        <v>0.54100000000000004</v>
      </c>
    </row>
    <row r="166" spans="1:13" x14ac:dyDescent="0.3">
      <c r="A166" s="1">
        <v>6</v>
      </c>
      <c r="B166" s="1">
        <v>7.02</v>
      </c>
      <c r="C166" s="1">
        <v>21</v>
      </c>
      <c r="D166" s="1">
        <v>13.98</v>
      </c>
      <c r="E166" s="1">
        <v>1.01</v>
      </c>
      <c r="F166" s="1">
        <v>1.6E-2</v>
      </c>
      <c r="H166" s="1">
        <v>6</v>
      </c>
      <c r="I166" s="1">
        <v>45.74</v>
      </c>
      <c r="J166" s="1">
        <v>20</v>
      </c>
      <c r="K166" s="1">
        <v>25.74</v>
      </c>
      <c r="L166" s="1">
        <v>1.6</v>
      </c>
      <c r="M166" s="1">
        <v>0.51500000000000001</v>
      </c>
    </row>
    <row r="167" spans="1:13" x14ac:dyDescent="0.3">
      <c r="A167" s="1">
        <v>7</v>
      </c>
      <c r="B167" s="1">
        <v>6.43</v>
      </c>
      <c r="C167" s="1">
        <v>19</v>
      </c>
      <c r="D167" s="1">
        <v>12.57</v>
      </c>
      <c r="E167" s="1">
        <v>1.01</v>
      </c>
      <c r="F167" s="1">
        <v>2.9000000000000001E-2</v>
      </c>
      <c r="H167" s="1">
        <v>7</v>
      </c>
      <c r="I167" s="1">
        <v>47.45</v>
      </c>
      <c r="J167" s="1">
        <v>20</v>
      </c>
      <c r="K167" s="1">
        <v>27.45</v>
      </c>
      <c r="L167" s="1">
        <v>1.68</v>
      </c>
      <c r="M167" s="1">
        <v>0.53900000000000003</v>
      </c>
    </row>
    <row r="168" spans="1:13" x14ac:dyDescent="0.3">
      <c r="A168" s="1">
        <v>8</v>
      </c>
      <c r="B168" s="1">
        <v>6.96</v>
      </c>
      <c r="C168" s="1">
        <v>20</v>
      </c>
      <c r="D168" s="1">
        <v>13.04</v>
      </c>
      <c r="E168" s="1">
        <v>1.01</v>
      </c>
      <c r="F168" s="1">
        <v>1.7000000000000001E-2</v>
      </c>
      <c r="H168" s="1">
        <v>8</v>
      </c>
      <c r="I168" s="1">
        <v>57.81</v>
      </c>
      <c r="J168" s="1">
        <v>19</v>
      </c>
      <c r="K168" s="1">
        <v>38.81</v>
      </c>
      <c r="L168" s="1">
        <v>1.6</v>
      </c>
      <c r="M168" s="1">
        <v>0.52700000000000002</v>
      </c>
    </row>
    <row r="169" spans="1:13" x14ac:dyDescent="0.3">
      <c r="A169" s="1">
        <v>9</v>
      </c>
      <c r="B169" s="1">
        <v>6.89</v>
      </c>
      <c r="C169" s="1">
        <v>20</v>
      </c>
      <c r="D169" s="1">
        <v>13.11</v>
      </c>
      <c r="E169" s="1">
        <v>1.01</v>
      </c>
      <c r="F169" s="1">
        <v>3.5000000000000003E-2</v>
      </c>
      <c r="H169" s="1">
        <v>9</v>
      </c>
      <c r="I169" s="1">
        <v>53.41</v>
      </c>
      <c r="J169" s="1">
        <v>19</v>
      </c>
      <c r="K169" s="1">
        <v>34.409999999999997</v>
      </c>
      <c r="L169" s="1">
        <v>1.65</v>
      </c>
      <c r="M169" s="1">
        <v>0.52300000000000002</v>
      </c>
    </row>
    <row r="170" spans="1:13" x14ac:dyDescent="0.3">
      <c r="A170" s="1">
        <v>10</v>
      </c>
      <c r="B170" s="4">
        <v>6.63</v>
      </c>
      <c r="C170" s="1">
        <v>20</v>
      </c>
      <c r="D170" s="4">
        <v>13.37</v>
      </c>
      <c r="E170" s="1">
        <v>1.01</v>
      </c>
      <c r="F170" s="1">
        <v>2.1999999999999999E-2</v>
      </c>
      <c r="H170" s="1">
        <v>10</v>
      </c>
      <c r="I170" s="4">
        <v>47.75</v>
      </c>
      <c r="J170" s="1">
        <v>20</v>
      </c>
      <c r="K170" s="4">
        <v>27.75</v>
      </c>
      <c r="L170" s="1">
        <v>1.66</v>
      </c>
      <c r="M170" s="1">
        <v>0.56699999999999995</v>
      </c>
    </row>
    <row r="171" spans="1:13" x14ac:dyDescent="0.3">
      <c r="D171" s="3">
        <f>AVERAGE(D161:D170)</f>
        <v>13.744</v>
      </c>
      <c r="E171" s="3">
        <f>AVERAGE(E161:E170)</f>
        <v>1.0139999999999998</v>
      </c>
      <c r="F171" s="3">
        <f>AVERAGE(F161:F170)</f>
        <v>3.1800000000000009E-2</v>
      </c>
      <c r="K171" s="3">
        <f>AVERAGE(K161:K170)</f>
        <v>35.484999999999999</v>
      </c>
      <c r="L171" s="3">
        <f>AVERAGE(L161:L170)</f>
        <v>1.6789999999999998</v>
      </c>
      <c r="M171" s="3">
        <f>AVERAGE(M161:M170)</f>
        <v>0.5333</v>
      </c>
    </row>
    <row r="173" spans="1:13" ht="26.25" x14ac:dyDescent="0.3">
      <c r="A173" s="7" t="s">
        <v>20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5" spans="1:13" x14ac:dyDescent="0.3">
      <c r="A175" s="11"/>
      <c r="B175" s="11"/>
      <c r="C175" s="11"/>
      <c r="D175" s="11"/>
      <c r="E175" s="11"/>
      <c r="F175" s="12"/>
      <c r="G175" s="12"/>
      <c r="H175" s="11"/>
      <c r="I175" s="11"/>
      <c r="J175" s="11"/>
      <c r="K175" s="11"/>
      <c r="L175" s="11"/>
      <c r="M175" s="11"/>
    </row>
    <row r="176" spans="1:13" x14ac:dyDescent="0.3">
      <c r="A176" s="13"/>
      <c r="B176" s="13"/>
      <c r="C176" s="13"/>
      <c r="D176" s="13"/>
      <c r="E176" s="13"/>
      <c r="F176" s="13"/>
      <c r="G176" s="12"/>
      <c r="H176" s="13"/>
      <c r="I176" s="13"/>
      <c r="J176" s="13"/>
      <c r="K176" s="13"/>
      <c r="L176" s="13"/>
      <c r="M176" s="13"/>
    </row>
    <row r="177" spans="1:13" x14ac:dyDescent="0.3">
      <c r="A177" s="10"/>
      <c r="B177" s="10"/>
      <c r="C177" s="10"/>
      <c r="D177" s="10"/>
      <c r="E177" s="10"/>
      <c r="F177" s="10"/>
      <c r="G177" s="12"/>
      <c r="H177" s="10"/>
      <c r="I177" s="10"/>
      <c r="J177" s="10"/>
      <c r="K177" s="10"/>
      <c r="L177" s="10"/>
      <c r="M177" s="10"/>
    </row>
    <row r="178" spans="1:13" x14ac:dyDescent="0.3">
      <c r="A178" s="10"/>
      <c r="B178" s="10"/>
      <c r="C178" s="10"/>
      <c r="D178" s="10"/>
      <c r="E178" s="10"/>
      <c r="F178" s="10"/>
      <c r="G178" s="12"/>
      <c r="H178" s="10"/>
      <c r="I178" s="10"/>
      <c r="J178" s="10"/>
      <c r="K178" s="10"/>
      <c r="L178" s="10"/>
      <c r="M178" s="10"/>
    </row>
    <row r="179" spans="1:13" x14ac:dyDescent="0.3">
      <c r="A179" s="10"/>
      <c r="B179" s="10"/>
      <c r="C179" s="10"/>
      <c r="D179" s="10"/>
      <c r="E179" s="10"/>
      <c r="F179" s="10"/>
      <c r="G179" s="12"/>
      <c r="H179" s="10"/>
      <c r="I179" s="10"/>
      <c r="J179" s="10"/>
      <c r="K179" s="10"/>
      <c r="L179" s="10"/>
      <c r="M179" s="10"/>
    </row>
    <row r="180" spans="1:13" x14ac:dyDescent="0.3">
      <c r="A180" s="10"/>
      <c r="B180" s="10"/>
      <c r="C180" s="10"/>
      <c r="D180" s="10"/>
      <c r="E180" s="10"/>
      <c r="F180" s="10"/>
      <c r="G180" s="12"/>
      <c r="H180" s="10"/>
      <c r="I180" s="10"/>
      <c r="J180" s="10"/>
      <c r="K180" s="10"/>
      <c r="L180" s="10"/>
      <c r="M180" s="10"/>
    </row>
    <row r="181" spans="1:13" x14ac:dyDescent="0.3">
      <c r="A181" s="10"/>
      <c r="B181" s="10"/>
      <c r="C181" s="10"/>
      <c r="D181" s="10"/>
      <c r="E181" s="10"/>
      <c r="F181" s="10"/>
      <c r="G181" s="12"/>
      <c r="H181" s="10"/>
      <c r="I181" s="10"/>
      <c r="J181" s="10"/>
      <c r="K181" s="10"/>
      <c r="L181" s="10"/>
      <c r="M181" s="10"/>
    </row>
    <row r="182" spans="1:13" x14ac:dyDescent="0.3">
      <c r="A182" s="10"/>
      <c r="B182" s="10"/>
      <c r="C182" s="10"/>
      <c r="D182" s="10"/>
      <c r="E182" s="10"/>
      <c r="F182" s="10"/>
      <c r="G182" s="12"/>
      <c r="H182" s="10"/>
      <c r="I182" s="10"/>
      <c r="J182" s="10"/>
      <c r="K182" s="10"/>
      <c r="L182" s="10"/>
      <c r="M182" s="10"/>
    </row>
    <row r="183" spans="1:13" x14ac:dyDescent="0.3">
      <c r="A183" s="10"/>
      <c r="B183" s="10"/>
      <c r="C183" s="10"/>
      <c r="D183" s="10"/>
      <c r="E183" s="10"/>
      <c r="F183" s="10"/>
      <c r="G183" s="12"/>
      <c r="H183" s="10"/>
      <c r="I183" s="10"/>
      <c r="J183" s="10"/>
      <c r="K183" s="10"/>
      <c r="L183" s="10"/>
      <c r="M183" s="10"/>
    </row>
    <row r="184" spans="1:13" x14ac:dyDescent="0.3">
      <c r="A184" s="10"/>
      <c r="B184" s="10"/>
      <c r="C184" s="10"/>
      <c r="D184" s="10"/>
      <c r="E184" s="10"/>
      <c r="F184" s="10"/>
      <c r="G184" s="12"/>
      <c r="H184" s="10"/>
      <c r="I184" s="14"/>
      <c r="J184" s="10"/>
      <c r="K184" s="14"/>
      <c r="L184" s="10"/>
      <c r="M184" s="10"/>
    </row>
    <row r="185" spans="1:13" x14ac:dyDescent="0.3">
      <c r="A185" s="10"/>
      <c r="B185" s="10"/>
      <c r="C185" s="10"/>
      <c r="D185" s="10"/>
      <c r="E185" s="10"/>
      <c r="F185" s="10"/>
      <c r="G185" s="12"/>
      <c r="H185" s="10"/>
      <c r="I185" s="10"/>
      <c r="J185" s="10"/>
      <c r="K185" s="10"/>
      <c r="L185" s="10"/>
      <c r="M185" s="10"/>
    </row>
    <row r="186" spans="1:13" x14ac:dyDescent="0.3">
      <c r="A186" s="10"/>
      <c r="B186" s="14"/>
      <c r="C186" s="10"/>
      <c r="D186" s="14"/>
      <c r="E186" s="10"/>
      <c r="F186" s="10"/>
      <c r="G186" s="12"/>
      <c r="H186" s="10"/>
      <c r="I186" s="14"/>
      <c r="J186" s="10"/>
      <c r="K186" s="14"/>
      <c r="L186" s="10"/>
      <c r="M186" s="10"/>
    </row>
    <row r="187" spans="1:13" x14ac:dyDescent="0.3">
      <c r="A187" s="12"/>
      <c r="B187" s="12"/>
      <c r="C187" s="12"/>
      <c r="D187" s="10"/>
      <c r="E187" s="10"/>
      <c r="F187" s="10"/>
      <c r="G187" s="12"/>
      <c r="H187" s="12"/>
      <c r="I187" s="12"/>
      <c r="J187" s="12"/>
      <c r="K187" s="10"/>
      <c r="L187" s="10"/>
      <c r="M187" s="10"/>
    </row>
    <row r="188" spans="1:13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x14ac:dyDescent="0.3">
      <c r="A189" s="11"/>
      <c r="B189" s="11"/>
      <c r="C189" s="11"/>
      <c r="D189" s="11"/>
      <c r="E189" s="11"/>
      <c r="F189" s="12"/>
      <c r="G189" s="12"/>
      <c r="H189" s="11"/>
      <c r="I189" s="11"/>
      <c r="J189" s="11"/>
      <c r="K189" s="11"/>
      <c r="L189" s="11"/>
      <c r="M189" s="12"/>
    </row>
    <row r="190" spans="1:13" x14ac:dyDescent="0.3">
      <c r="A190" s="13"/>
      <c r="B190" s="13"/>
      <c r="C190" s="13"/>
      <c r="D190" s="13"/>
      <c r="E190" s="13"/>
      <c r="F190" s="13"/>
      <c r="G190" s="12"/>
      <c r="H190" s="13"/>
      <c r="I190" s="13"/>
      <c r="J190" s="13"/>
      <c r="K190" s="13"/>
      <c r="L190" s="13"/>
      <c r="M190" s="13"/>
    </row>
    <row r="191" spans="1:13" x14ac:dyDescent="0.3">
      <c r="A191" s="10"/>
      <c r="B191" s="10"/>
      <c r="C191" s="10"/>
      <c r="D191" s="10"/>
      <c r="E191" s="10"/>
      <c r="F191" s="10"/>
      <c r="G191" s="12"/>
      <c r="H191" s="10"/>
      <c r="I191" s="10"/>
      <c r="J191" s="10"/>
      <c r="K191" s="10"/>
      <c r="L191" s="10"/>
      <c r="M191" s="10"/>
    </row>
    <row r="192" spans="1:13" x14ac:dyDescent="0.3">
      <c r="A192" s="10"/>
      <c r="B192" s="10"/>
      <c r="C192" s="10"/>
      <c r="D192" s="10"/>
      <c r="E192" s="10"/>
      <c r="F192" s="10"/>
      <c r="G192" s="12"/>
      <c r="H192" s="10"/>
      <c r="I192" s="10"/>
      <c r="J192" s="10"/>
      <c r="K192" s="10"/>
      <c r="L192" s="10"/>
      <c r="M192" s="10"/>
    </row>
    <row r="193" spans="1:13" x14ac:dyDescent="0.3">
      <c r="A193" s="10"/>
      <c r="B193" s="10"/>
      <c r="C193" s="10"/>
      <c r="D193" s="10"/>
      <c r="E193" s="10"/>
      <c r="F193" s="10"/>
      <c r="G193" s="12"/>
      <c r="H193" s="10"/>
      <c r="I193" s="10"/>
      <c r="J193" s="10"/>
      <c r="K193" s="10"/>
      <c r="L193" s="10"/>
      <c r="M193" s="10"/>
    </row>
    <row r="194" spans="1:13" x14ac:dyDescent="0.3">
      <c r="A194" s="10"/>
      <c r="B194" s="10"/>
      <c r="C194" s="10"/>
      <c r="D194" s="10"/>
      <c r="E194" s="10"/>
      <c r="F194" s="10"/>
      <c r="G194" s="12"/>
      <c r="H194" s="10"/>
      <c r="I194" s="10"/>
      <c r="J194" s="10"/>
      <c r="K194" s="10"/>
      <c r="L194" s="10"/>
      <c r="M194" s="10"/>
    </row>
    <row r="195" spans="1:13" x14ac:dyDescent="0.3">
      <c r="A195" s="10"/>
      <c r="B195" s="10"/>
      <c r="C195" s="10"/>
      <c r="D195" s="10"/>
      <c r="E195" s="10"/>
      <c r="F195" s="10"/>
      <c r="G195" s="12"/>
      <c r="H195" s="10"/>
      <c r="I195" s="10"/>
      <c r="J195" s="10"/>
      <c r="K195" s="10"/>
      <c r="L195" s="10"/>
      <c r="M195" s="10"/>
    </row>
    <row r="196" spans="1:13" x14ac:dyDescent="0.3">
      <c r="A196" s="10"/>
      <c r="B196" s="10"/>
      <c r="C196" s="10"/>
      <c r="D196" s="10"/>
      <c r="E196" s="10"/>
      <c r="F196" s="10"/>
      <c r="G196" s="12"/>
      <c r="H196" s="10"/>
      <c r="I196" s="10"/>
      <c r="J196" s="10"/>
      <c r="K196" s="10"/>
      <c r="L196" s="10"/>
      <c r="M196" s="10"/>
    </row>
    <row r="197" spans="1:13" x14ac:dyDescent="0.3">
      <c r="A197" s="10"/>
      <c r="B197" s="10"/>
      <c r="C197" s="10"/>
      <c r="D197" s="10"/>
      <c r="E197" s="10"/>
      <c r="F197" s="10"/>
      <c r="G197" s="12"/>
      <c r="H197" s="10"/>
      <c r="I197" s="10"/>
      <c r="J197" s="10"/>
      <c r="K197" s="10"/>
      <c r="L197" s="10"/>
      <c r="M197" s="10"/>
    </row>
    <row r="198" spans="1:13" x14ac:dyDescent="0.3">
      <c r="A198" s="10"/>
      <c r="B198" s="10"/>
      <c r="C198" s="10"/>
      <c r="D198" s="10"/>
      <c r="E198" s="10"/>
      <c r="F198" s="10"/>
      <c r="G198" s="12"/>
      <c r="H198" s="10"/>
      <c r="I198" s="10"/>
      <c r="J198" s="10"/>
      <c r="K198" s="10"/>
      <c r="L198" s="10"/>
      <c r="M198" s="10"/>
    </row>
    <row r="199" spans="1:13" x14ac:dyDescent="0.3">
      <c r="A199" s="10"/>
      <c r="B199" s="10"/>
      <c r="C199" s="10"/>
      <c r="D199" s="10"/>
      <c r="E199" s="10"/>
      <c r="F199" s="10"/>
      <c r="G199" s="12"/>
      <c r="H199" s="10"/>
      <c r="I199" s="10"/>
      <c r="J199" s="10"/>
      <c r="K199" s="10"/>
      <c r="L199" s="10"/>
      <c r="M199" s="10"/>
    </row>
    <row r="200" spans="1:13" x14ac:dyDescent="0.3">
      <c r="A200" s="10"/>
      <c r="B200" s="14"/>
      <c r="C200" s="10"/>
      <c r="D200" s="14"/>
      <c r="E200" s="10"/>
      <c r="F200" s="10"/>
      <c r="G200" s="12"/>
      <c r="H200" s="10"/>
      <c r="I200" s="14"/>
      <c r="J200" s="10"/>
      <c r="K200" s="14"/>
      <c r="L200" s="10"/>
      <c r="M200" s="10"/>
    </row>
    <row r="201" spans="1:13" x14ac:dyDescent="0.3">
      <c r="A201" s="12"/>
      <c r="B201" s="12"/>
      <c r="C201" s="12"/>
      <c r="D201" s="10"/>
      <c r="E201" s="10"/>
      <c r="F201" s="10"/>
      <c r="G201" s="12"/>
      <c r="H201" s="12"/>
      <c r="I201" s="12"/>
      <c r="J201" s="12"/>
      <c r="K201" s="10"/>
      <c r="L201" s="10"/>
      <c r="M201" s="10"/>
    </row>
    <row r="202" spans="1:13" x14ac:dyDescent="0.3">
      <c r="A202" s="12"/>
      <c r="B202" s="12"/>
      <c r="C202" s="12"/>
      <c r="D202" s="10"/>
      <c r="E202" s="10"/>
      <c r="F202" s="10"/>
      <c r="G202" s="12"/>
      <c r="H202" s="12"/>
      <c r="I202" s="12"/>
      <c r="J202" s="12"/>
      <c r="K202" s="10"/>
      <c r="L202" s="10"/>
      <c r="M202" s="10"/>
    </row>
    <row r="203" spans="1:13" x14ac:dyDescent="0.3">
      <c r="A203" s="11"/>
      <c r="B203" s="11"/>
      <c r="C203" s="11"/>
      <c r="D203" s="11"/>
      <c r="E203" s="11"/>
      <c r="F203" s="12"/>
      <c r="G203" s="12"/>
      <c r="H203" s="11"/>
      <c r="I203" s="11"/>
      <c r="J203" s="11"/>
      <c r="K203" s="11"/>
      <c r="L203" s="11"/>
      <c r="M203" s="12"/>
    </row>
    <row r="204" spans="1:13" x14ac:dyDescent="0.3">
      <c r="A204" s="13"/>
      <c r="B204" s="13"/>
      <c r="C204" s="13"/>
      <c r="D204" s="13"/>
      <c r="E204" s="13"/>
      <c r="F204" s="13"/>
      <c r="G204" s="12"/>
      <c r="H204" s="13"/>
      <c r="I204" s="13"/>
      <c r="J204" s="13"/>
      <c r="K204" s="13"/>
      <c r="L204" s="13"/>
      <c r="M204" s="13"/>
    </row>
    <row r="205" spans="1:13" x14ac:dyDescent="0.3">
      <c r="A205" s="10"/>
      <c r="B205" s="10"/>
      <c r="C205" s="10"/>
      <c r="D205" s="10"/>
      <c r="E205" s="10"/>
      <c r="F205" s="10"/>
      <c r="G205" s="12"/>
      <c r="H205" s="10"/>
      <c r="I205" s="10"/>
      <c r="J205" s="10"/>
      <c r="K205" s="10"/>
      <c r="L205" s="10"/>
      <c r="M205" s="10"/>
    </row>
    <row r="206" spans="1:13" x14ac:dyDescent="0.3">
      <c r="A206" s="10"/>
      <c r="B206" s="10"/>
      <c r="C206" s="10"/>
      <c r="D206" s="10"/>
      <c r="E206" s="10"/>
      <c r="F206" s="10"/>
      <c r="G206" s="12"/>
      <c r="H206" s="10"/>
      <c r="I206" s="10"/>
      <c r="J206" s="10"/>
      <c r="K206" s="10"/>
      <c r="L206" s="10"/>
      <c r="M206" s="10"/>
    </row>
    <row r="207" spans="1:13" x14ac:dyDescent="0.3">
      <c r="A207" s="10"/>
      <c r="B207" s="10"/>
      <c r="C207" s="10"/>
      <c r="D207" s="10"/>
      <c r="E207" s="10"/>
      <c r="F207" s="10"/>
      <c r="G207" s="12"/>
      <c r="H207" s="10"/>
      <c r="I207" s="10"/>
      <c r="J207" s="10"/>
      <c r="K207" s="10"/>
      <c r="L207" s="10"/>
      <c r="M207" s="10"/>
    </row>
    <row r="208" spans="1:13" x14ac:dyDescent="0.3">
      <c r="A208" s="10"/>
      <c r="B208" s="10"/>
      <c r="C208" s="10"/>
      <c r="D208" s="10"/>
      <c r="E208" s="10"/>
      <c r="F208" s="10"/>
      <c r="G208" s="12"/>
      <c r="H208" s="10"/>
      <c r="I208" s="10"/>
      <c r="J208" s="10"/>
      <c r="K208" s="10"/>
      <c r="L208" s="10"/>
      <c r="M208" s="10"/>
    </row>
    <row r="209" spans="1:13" x14ac:dyDescent="0.3">
      <c r="A209" s="10"/>
      <c r="B209" s="10"/>
      <c r="C209" s="10"/>
      <c r="D209" s="10"/>
      <c r="E209" s="10"/>
      <c r="F209" s="10"/>
      <c r="G209" s="12"/>
      <c r="H209" s="10"/>
      <c r="I209" s="10"/>
      <c r="J209" s="10"/>
      <c r="K209" s="10"/>
      <c r="L209" s="10"/>
      <c r="M209" s="10"/>
    </row>
    <row r="210" spans="1:13" x14ac:dyDescent="0.3">
      <c r="A210" s="10"/>
      <c r="B210" s="10"/>
      <c r="C210" s="10"/>
      <c r="D210" s="10"/>
      <c r="E210" s="10"/>
      <c r="F210" s="10"/>
      <c r="G210" s="12"/>
      <c r="H210" s="10"/>
      <c r="I210" s="10"/>
      <c r="J210" s="10"/>
      <c r="K210" s="10"/>
      <c r="L210" s="10"/>
      <c r="M210" s="10"/>
    </row>
    <row r="211" spans="1:13" x14ac:dyDescent="0.3">
      <c r="A211" s="10"/>
      <c r="B211" s="10"/>
      <c r="C211" s="10"/>
      <c r="D211" s="10"/>
      <c r="E211" s="10"/>
      <c r="F211" s="10"/>
      <c r="G211" s="12"/>
      <c r="H211" s="10"/>
      <c r="I211" s="10"/>
      <c r="J211" s="10"/>
      <c r="K211" s="10"/>
      <c r="L211" s="10"/>
      <c r="M211" s="10"/>
    </row>
    <row r="212" spans="1:13" x14ac:dyDescent="0.3">
      <c r="A212" s="10"/>
      <c r="B212" s="10"/>
      <c r="C212" s="10"/>
      <c r="D212" s="10"/>
      <c r="E212" s="10"/>
      <c r="F212" s="10"/>
      <c r="G212" s="12"/>
      <c r="H212" s="10"/>
      <c r="I212" s="10"/>
      <c r="J212" s="10"/>
      <c r="K212" s="10"/>
      <c r="L212" s="10"/>
      <c r="M212" s="10"/>
    </row>
    <row r="213" spans="1:13" x14ac:dyDescent="0.3">
      <c r="A213" s="10"/>
      <c r="B213" s="10"/>
      <c r="C213" s="10"/>
      <c r="D213" s="10"/>
      <c r="E213" s="10"/>
      <c r="F213" s="10"/>
      <c r="G213" s="12"/>
      <c r="H213" s="10"/>
      <c r="I213" s="10"/>
      <c r="J213" s="10"/>
      <c r="K213" s="10"/>
      <c r="L213" s="10"/>
      <c r="M213" s="10"/>
    </row>
    <row r="214" spans="1:13" x14ac:dyDescent="0.3">
      <c r="A214" s="10"/>
      <c r="B214" s="14"/>
      <c r="C214" s="10"/>
      <c r="D214" s="14"/>
      <c r="E214" s="10"/>
      <c r="F214" s="10"/>
      <c r="G214" s="12"/>
      <c r="H214" s="10"/>
      <c r="I214" s="14"/>
      <c r="J214" s="10"/>
      <c r="K214" s="14"/>
      <c r="L214" s="10"/>
      <c r="M214" s="10"/>
    </row>
    <row r="215" spans="1:13" x14ac:dyDescent="0.3">
      <c r="A215" s="12"/>
      <c r="B215" s="12"/>
      <c r="C215" s="12"/>
      <c r="D215" s="10"/>
      <c r="E215" s="10"/>
      <c r="F215" s="10"/>
      <c r="G215" s="12"/>
      <c r="H215" s="12"/>
      <c r="I215" s="12"/>
      <c r="J215" s="12"/>
      <c r="K215" s="10"/>
      <c r="L215" s="10"/>
      <c r="M215" s="10"/>
    </row>
    <row r="216" spans="1:13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spans="1:13" x14ac:dyDescent="0.3">
      <c r="A217" s="11"/>
      <c r="B217" s="11"/>
      <c r="C217" s="11"/>
      <c r="D217" s="11"/>
      <c r="E217" s="11"/>
      <c r="F217" s="12"/>
      <c r="G217" s="12"/>
      <c r="H217" s="11"/>
      <c r="I217" s="11"/>
      <c r="J217" s="11"/>
      <c r="K217" s="11"/>
      <c r="L217" s="11"/>
      <c r="M217" s="12"/>
    </row>
    <row r="218" spans="1:13" x14ac:dyDescent="0.3">
      <c r="A218" s="13"/>
      <c r="B218" s="13"/>
      <c r="C218" s="13"/>
      <c r="D218" s="13"/>
      <c r="E218" s="13"/>
      <c r="F218" s="13"/>
      <c r="G218" s="12"/>
      <c r="H218" s="13"/>
      <c r="I218" s="13"/>
      <c r="J218" s="13"/>
      <c r="K218" s="13"/>
      <c r="L218" s="13"/>
      <c r="M218" s="13"/>
    </row>
    <row r="219" spans="1:13" x14ac:dyDescent="0.3">
      <c r="A219" s="10"/>
      <c r="B219" s="10"/>
      <c r="C219" s="10"/>
      <c r="D219" s="10"/>
      <c r="E219" s="10"/>
      <c r="F219" s="10"/>
      <c r="G219" s="12"/>
      <c r="H219" s="10"/>
      <c r="I219" s="10"/>
      <c r="J219" s="10"/>
      <c r="K219" s="10"/>
      <c r="L219" s="10"/>
      <c r="M219" s="10"/>
    </row>
    <row r="220" spans="1:13" x14ac:dyDescent="0.3">
      <c r="A220" s="10"/>
      <c r="B220" s="10"/>
      <c r="C220" s="10"/>
      <c r="D220" s="10"/>
      <c r="E220" s="10"/>
      <c r="F220" s="10"/>
      <c r="G220" s="12"/>
      <c r="H220" s="10"/>
      <c r="I220" s="10"/>
      <c r="J220" s="10"/>
      <c r="K220" s="10"/>
      <c r="L220" s="10"/>
      <c r="M220" s="10"/>
    </row>
    <row r="221" spans="1:13" x14ac:dyDescent="0.3">
      <c r="A221" s="10"/>
      <c r="B221" s="10"/>
      <c r="C221" s="10"/>
      <c r="D221" s="10"/>
      <c r="E221" s="10"/>
      <c r="F221" s="10"/>
      <c r="G221" s="12"/>
      <c r="H221" s="10"/>
      <c r="I221" s="10"/>
      <c r="J221" s="10"/>
      <c r="K221" s="10"/>
      <c r="L221" s="10"/>
      <c r="M221" s="10"/>
    </row>
    <row r="222" spans="1:13" x14ac:dyDescent="0.3">
      <c r="A222" s="10"/>
      <c r="B222" s="10"/>
      <c r="C222" s="10"/>
      <c r="D222" s="10"/>
      <c r="E222" s="10"/>
      <c r="F222" s="10"/>
      <c r="G222" s="12"/>
      <c r="H222" s="10"/>
      <c r="I222" s="10"/>
      <c r="J222" s="10"/>
      <c r="K222" s="10"/>
      <c r="L222" s="10"/>
      <c r="M222" s="10"/>
    </row>
    <row r="223" spans="1:13" x14ac:dyDescent="0.3">
      <c r="A223" s="10"/>
      <c r="B223" s="10"/>
      <c r="C223" s="10"/>
      <c r="D223" s="10"/>
      <c r="E223" s="10"/>
      <c r="F223" s="10"/>
      <c r="G223" s="12"/>
      <c r="H223" s="10"/>
      <c r="I223" s="10"/>
      <c r="J223" s="10"/>
      <c r="K223" s="10"/>
      <c r="L223" s="10"/>
      <c r="M223" s="10"/>
    </row>
    <row r="224" spans="1:13" x14ac:dyDescent="0.3">
      <c r="A224" s="10"/>
      <c r="B224" s="10"/>
      <c r="C224" s="10"/>
      <c r="D224" s="10"/>
      <c r="E224" s="10"/>
      <c r="F224" s="10"/>
      <c r="G224" s="12"/>
      <c r="H224" s="10"/>
      <c r="I224" s="10"/>
      <c r="J224" s="10"/>
      <c r="K224" s="10"/>
      <c r="L224" s="10"/>
      <c r="M224" s="10"/>
    </row>
    <row r="225" spans="1:13" x14ac:dyDescent="0.3">
      <c r="A225" s="10"/>
      <c r="B225" s="10"/>
      <c r="C225" s="10"/>
      <c r="D225" s="10"/>
      <c r="E225" s="10"/>
      <c r="F225" s="10"/>
      <c r="G225" s="12"/>
      <c r="H225" s="10"/>
      <c r="I225" s="10"/>
      <c r="J225" s="10"/>
      <c r="K225" s="10"/>
      <c r="L225" s="10"/>
      <c r="M225" s="10"/>
    </row>
    <row r="226" spans="1:13" x14ac:dyDescent="0.3">
      <c r="A226" s="10"/>
      <c r="B226" s="10"/>
      <c r="C226" s="10"/>
      <c r="D226" s="10"/>
      <c r="E226" s="10"/>
      <c r="F226" s="10"/>
      <c r="G226" s="12"/>
      <c r="H226" s="10"/>
      <c r="I226" s="10"/>
      <c r="J226" s="10"/>
      <c r="K226" s="10"/>
      <c r="L226" s="10"/>
      <c r="M226" s="10"/>
    </row>
    <row r="227" spans="1:13" x14ac:dyDescent="0.3">
      <c r="A227" s="10"/>
      <c r="B227" s="10"/>
      <c r="C227" s="10"/>
      <c r="D227" s="10"/>
      <c r="E227" s="10"/>
      <c r="F227" s="10"/>
      <c r="G227" s="12"/>
      <c r="H227" s="10"/>
      <c r="I227" s="10"/>
      <c r="J227" s="10"/>
      <c r="K227" s="10"/>
      <c r="L227" s="10"/>
      <c r="M227" s="10"/>
    </row>
    <row r="228" spans="1:13" x14ac:dyDescent="0.3">
      <c r="A228" s="10"/>
      <c r="B228" s="14"/>
      <c r="C228" s="10"/>
      <c r="D228" s="14"/>
      <c r="E228" s="10"/>
      <c r="F228" s="10"/>
      <c r="G228" s="12"/>
      <c r="H228" s="10"/>
      <c r="I228" s="14"/>
      <c r="J228" s="10"/>
      <c r="K228" s="14"/>
      <c r="L228" s="10"/>
      <c r="M228" s="10"/>
    </row>
    <row r="229" spans="1:13" x14ac:dyDescent="0.3">
      <c r="A229" s="12"/>
      <c r="B229" s="12"/>
      <c r="C229" s="12"/>
      <c r="D229" s="10"/>
      <c r="E229" s="10"/>
      <c r="F229" s="10"/>
      <c r="G229" s="12"/>
      <c r="H229" s="12"/>
      <c r="I229" s="12"/>
      <c r="J229" s="12"/>
      <c r="K229" s="10"/>
      <c r="L229" s="10"/>
      <c r="M229" s="10"/>
    </row>
    <row r="230" spans="1:13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x14ac:dyDescent="0.3">
      <c r="A231" s="11"/>
      <c r="B231" s="11"/>
      <c r="C231" s="11"/>
      <c r="D231" s="11"/>
      <c r="E231" s="11"/>
      <c r="F231" s="12"/>
      <c r="G231" s="12"/>
      <c r="H231" s="11"/>
      <c r="I231" s="11"/>
      <c r="J231" s="11"/>
      <c r="K231" s="11"/>
      <c r="L231" s="11"/>
      <c r="M231" s="11"/>
    </row>
    <row r="232" spans="1:13" x14ac:dyDescent="0.3">
      <c r="A232" s="13"/>
      <c r="B232" s="13"/>
      <c r="C232" s="13"/>
      <c r="D232" s="13"/>
      <c r="E232" s="13"/>
      <c r="F232" s="13"/>
      <c r="G232" s="12"/>
      <c r="H232" s="13"/>
      <c r="I232" s="13"/>
      <c r="J232" s="13"/>
      <c r="K232" s="13"/>
      <c r="L232" s="13"/>
      <c r="M232" s="13"/>
    </row>
    <row r="233" spans="1:13" x14ac:dyDescent="0.3">
      <c r="A233" s="10"/>
      <c r="B233" s="10"/>
      <c r="C233" s="10"/>
      <c r="D233" s="10"/>
      <c r="E233" s="10"/>
      <c r="F233" s="10"/>
      <c r="G233" s="12"/>
      <c r="H233" s="10"/>
      <c r="I233" s="10"/>
      <c r="J233" s="10"/>
      <c r="K233" s="10"/>
      <c r="L233" s="10"/>
      <c r="M233" s="10"/>
    </row>
    <row r="234" spans="1:13" x14ac:dyDescent="0.3">
      <c r="A234" s="10"/>
      <c r="B234" s="10"/>
      <c r="C234" s="10"/>
      <c r="D234" s="10"/>
      <c r="E234" s="10"/>
      <c r="F234" s="10"/>
      <c r="G234" s="12"/>
      <c r="H234" s="10"/>
      <c r="I234" s="10"/>
      <c r="J234" s="10"/>
      <c r="K234" s="10"/>
      <c r="L234" s="10"/>
      <c r="M234" s="10"/>
    </row>
    <row r="235" spans="1:13" x14ac:dyDescent="0.3">
      <c r="A235" s="10"/>
      <c r="B235" s="10"/>
      <c r="C235" s="10"/>
      <c r="D235" s="10"/>
      <c r="E235" s="10"/>
      <c r="F235" s="10"/>
      <c r="G235" s="12"/>
      <c r="H235" s="10"/>
      <c r="I235" s="10"/>
      <c r="J235" s="10"/>
      <c r="K235" s="10"/>
      <c r="L235" s="10"/>
      <c r="M235" s="10"/>
    </row>
    <row r="236" spans="1:13" x14ac:dyDescent="0.3">
      <c r="A236" s="10"/>
      <c r="B236" s="10"/>
      <c r="C236" s="10"/>
      <c r="D236" s="10"/>
      <c r="E236" s="10"/>
      <c r="F236" s="10"/>
      <c r="G236" s="12"/>
      <c r="H236" s="10"/>
      <c r="I236" s="10"/>
      <c r="J236" s="10"/>
      <c r="K236" s="10"/>
      <c r="L236" s="10"/>
      <c r="M236" s="10"/>
    </row>
    <row r="237" spans="1:13" x14ac:dyDescent="0.3">
      <c r="A237" s="10"/>
      <c r="B237" s="10"/>
      <c r="C237" s="10"/>
      <c r="D237" s="10"/>
      <c r="E237" s="10"/>
      <c r="F237" s="10"/>
      <c r="G237" s="12"/>
      <c r="H237" s="10"/>
      <c r="I237" s="10"/>
      <c r="J237" s="10"/>
      <c r="K237" s="10"/>
      <c r="L237" s="10"/>
      <c r="M237" s="10"/>
    </row>
    <row r="238" spans="1:13" x14ac:dyDescent="0.3">
      <c r="A238" s="10"/>
      <c r="B238" s="10"/>
      <c r="C238" s="10"/>
      <c r="D238" s="10"/>
      <c r="E238" s="10"/>
      <c r="F238" s="10"/>
      <c r="G238" s="12"/>
      <c r="H238" s="10"/>
      <c r="I238" s="10"/>
      <c r="J238" s="10"/>
      <c r="K238" s="10"/>
      <c r="L238" s="10"/>
      <c r="M238" s="10"/>
    </row>
    <row r="239" spans="1:13" x14ac:dyDescent="0.3">
      <c r="A239" s="10"/>
      <c r="B239" s="10"/>
      <c r="C239" s="10"/>
      <c r="D239" s="10"/>
      <c r="E239" s="10"/>
      <c r="F239" s="10"/>
      <c r="G239" s="12"/>
      <c r="H239" s="10"/>
      <c r="I239" s="10"/>
      <c r="J239" s="10"/>
      <c r="K239" s="10"/>
      <c r="L239" s="10"/>
      <c r="M239" s="10"/>
    </row>
    <row r="240" spans="1:13" x14ac:dyDescent="0.3">
      <c r="A240" s="10"/>
      <c r="B240" s="10"/>
      <c r="C240" s="10"/>
      <c r="D240" s="10"/>
      <c r="E240" s="10"/>
      <c r="F240" s="10"/>
      <c r="G240" s="12"/>
      <c r="H240" s="10"/>
      <c r="I240" s="14"/>
      <c r="J240" s="10"/>
      <c r="K240" s="14"/>
      <c r="L240" s="10"/>
      <c r="M240" s="10"/>
    </row>
    <row r="241" spans="1:13" x14ac:dyDescent="0.3">
      <c r="A241" s="10"/>
      <c r="B241" s="10"/>
      <c r="C241" s="10"/>
      <c r="D241" s="10"/>
      <c r="E241" s="10"/>
      <c r="F241" s="10"/>
      <c r="G241" s="12"/>
      <c r="H241" s="10"/>
      <c r="I241" s="10"/>
      <c r="J241" s="10"/>
      <c r="K241" s="10"/>
      <c r="L241" s="10"/>
      <c r="M241" s="10"/>
    </row>
    <row r="242" spans="1:13" x14ac:dyDescent="0.3">
      <c r="A242" s="10"/>
      <c r="B242" s="14"/>
      <c r="C242" s="10"/>
      <c r="D242" s="14"/>
      <c r="E242" s="10"/>
      <c r="F242" s="10"/>
      <c r="G242" s="12"/>
      <c r="H242" s="10"/>
      <c r="I242" s="14"/>
      <c r="J242" s="10"/>
      <c r="K242" s="14"/>
      <c r="L242" s="10"/>
      <c r="M242" s="10"/>
    </row>
    <row r="243" spans="1:13" x14ac:dyDescent="0.3">
      <c r="A243" s="12"/>
      <c r="B243" s="12"/>
      <c r="C243" s="12"/>
      <c r="D243" s="10"/>
      <c r="E243" s="10"/>
      <c r="F243" s="10"/>
      <c r="G243" s="12"/>
      <c r="H243" s="12"/>
      <c r="I243" s="12"/>
      <c r="J243" s="12"/>
      <c r="K243" s="10"/>
      <c r="L243" s="10"/>
      <c r="M243" s="10"/>
    </row>
    <row r="244" spans="1:13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spans="1:13" x14ac:dyDescent="0.3">
      <c r="A245" s="11"/>
      <c r="B245" s="11"/>
      <c r="C245" s="11"/>
      <c r="D245" s="11"/>
      <c r="E245" s="11"/>
      <c r="F245" s="12"/>
      <c r="G245" s="12"/>
      <c r="H245" s="11"/>
      <c r="I245" s="11"/>
      <c r="J245" s="11"/>
      <c r="K245" s="11"/>
      <c r="L245" s="11"/>
      <c r="M245" s="12"/>
    </row>
    <row r="246" spans="1:13" x14ac:dyDescent="0.3">
      <c r="A246" s="13"/>
      <c r="B246" s="13"/>
      <c r="C246" s="13"/>
      <c r="D246" s="13"/>
      <c r="E246" s="13"/>
      <c r="F246" s="13"/>
      <c r="G246" s="12"/>
      <c r="H246" s="13"/>
      <c r="I246" s="13"/>
      <c r="J246" s="13"/>
      <c r="K246" s="13"/>
      <c r="L246" s="13"/>
      <c r="M246" s="13"/>
    </row>
    <row r="247" spans="1:13" x14ac:dyDescent="0.3">
      <c r="A247" s="10"/>
      <c r="B247" s="10"/>
      <c r="C247" s="10"/>
      <c r="D247" s="10"/>
      <c r="E247" s="10"/>
      <c r="F247" s="10"/>
      <c r="G247" s="12"/>
      <c r="H247" s="10"/>
      <c r="I247" s="10"/>
      <c r="J247" s="10"/>
      <c r="K247" s="10"/>
      <c r="L247" s="10"/>
      <c r="M247" s="10"/>
    </row>
    <row r="248" spans="1:13" x14ac:dyDescent="0.3">
      <c r="A248" s="10"/>
      <c r="B248" s="10"/>
      <c r="C248" s="10"/>
      <c r="D248" s="10"/>
      <c r="E248" s="10"/>
      <c r="F248" s="10"/>
      <c r="G248" s="12"/>
      <c r="H248" s="10"/>
      <c r="I248" s="10"/>
      <c r="J248" s="10"/>
      <c r="K248" s="10"/>
      <c r="L248" s="10"/>
      <c r="M248" s="10"/>
    </row>
    <row r="249" spans="1:13" x14ac:dyDescent="0.3">
      <c r="A249" s="10"/>
      <c r="B249" s="10"/>
      <c r="C249" s="10"/>
      <c r="D249" s="10"/>
      <c r="E249" s="10"/>
      <c r="F249" s="10"/>
      <c r="G249" s="12"/>
      <c r="H249" s="10"/>
      <c r="I249" s="10"/>
      <c r="J249" s="10"/>
      <c r="K249" s="10"/>
      <c r="L249" s="10"/>
      <c r="M249" s="10"/>
    </row>
    <row r="250" spans="1:13" x14ac:dyDescent="0.3">
      <c r="A250" s="10"/>
      <c r="B250" s="10"/>
      <c r="C250" s="10"/>
      <c r="D250" s="10"/>
      <c r="E250" s="10"/>
      <c r="F250" s="10"/>
      <c r="G250" s="12"/>
      <c r="H250" s="10"/>
      <c r="I250" s="10"/>
      <c r="J250" s="10"/>
      <c r="K250" s="10"/>
      <c r="L250" s="10"/>
      <c r="M250" s="10"/>
    </row>
    <row r="251" spans="1:13" x14ac:dyDescent="0.3">
      <c r="A251" s="10"/>
      <c r="B251" s="10"/>
      <c r="C251" s="10"/>
      <c r="D251" s="10"/>
      <c r="E251" s="10"/>
      <c r="F251" s="10"/>
      <c r="G251" s="12"/>
      <c r="H251" s="10"/>
      <c r="I251" s="10"/>
      <c r="J251" s="10"/>
      <c r="K251" s="10"/>
      <c r="L251" s="10"/>
      <c r="M251" s="10"/>
    </row>
    <row r="252" spans="1:13" x14ac:dyDescent="0.3">
      <c r="A252" s="10"/>
      <c r="B252" s="10"/>
      <c r="C252" s="10"/>
      <c r="D252" s="10"/>
      <c r="E252" s="10"/>
      <c r="F252" s="10"/>
      <c r="G252" s="12"/>
      <c r="H252" s="10"/>
      <c r="I252" s="10"/>
      <c r="J252" s="10"/>
      <c r="K252" s="10"/>
      <c r="L252" s="10"/>
      <c r="M252" s="10"/>
    </row>
    <row r="253" spans="1:13" x14ac:dyDescent="0.3">
      <c r="A253" s="10"/>
      <c r="B253" s="10"/>
      <c r="C253" s="10"/>
      <c r="D253" s="10"/>
      <c r="E253" s="10"/>
      <c r="F253" s="10"/>
      <c r="G253" s="12"/>
      <c r="H253" s="10"/>
      <c r="I253" s="10"/>
      <c r="J253" s="10"/>
      <c r="K253" s="10"/>
      <c r="L253" s="10"/>
      <c r="M253" s="10"/>
    </row>
    <row r="254" spans="1:13" x14ac:dyDescent="0.3">
      <c r="A254" s="10"/>
      <c r="B254" s="10"/>
      <c r="C254" s="10"/>
      <c r="D254" s="10"/>
      <c r="E254" s="10"/>
      <c r="F254" s="10"/>
      <c r="G254" s="12"/>
      <c r="H254" s="10"/>
      <c r="I254" s="10"/>
      <c r="J254" s="10"/>
      <c r="K254" s="10"/>
      <c r="L254" s="10"/>
      <c r="M254" s="10"/>
    </row>
    <row r="255" spans="1:13" x14ac:dyDescent="0.3">
      <c r="A255" s="10"/>
      <c r="B255" s="10"/>
      <c r="C255" s="10"/>
      <c r="D255" s="10"/>
      <c r="E255" s="10"/>
      <c r="F255" s="10"/>
      <c r="G255" s="12"/>
      <c r="H255" s="10"/>
      <c r="I255" s="10"/>
      <c r="J255" s="10"/>
      <c r="K255" s="10"/>
      <c r="L255" s="10"/>
      <c r="M255" s="10"/>
    </row>
    <row r="256" spans="1:13" x14ac:dyDescent="0.3">
      <c r="A256" s="10"/>
      <c r="B256" s="14"/>
      <c r="C256" s="10"/>
      <c r="D256" s="14"/>
      <c r="E256" s="10"/>
      <c r="F256" s="10"/>
      <c r="G256" s="12"/>
      <c r="H256" s="10"/>
      <c r="I256" s="14"/>
      <c r="J256" s="10"/>
      <c r="K256" s="14"/>
      <c r="L256" s="10"/>
      <c r="M256" s="10"/>
    </row>
    <row r="257" spans="1:13" x14ac:dyDescent="0.3">
      <c r="A257" s="12"/>
      <c r="B257" s="12"/>
      <c r="C257" s="12"/>
      <c r="D257" s="10"/>
      <c r="E257" s="10"/>
      <c r="F257" s="10"/>
      <c r="G257" s="12"/>
      <c r="H257" s="12"/>
      <c r="I257" s="12"/>
      <c r="J257" s="12"/>
      <c r="K257" s="10"/>
      <c r="L257" s="10"/>
      <c r="M257" s="10"/>
    </row>
    <row r="258" spans="1:13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</sheetData>
  <mergeCells count="36">
    <mergeCell ref="A217:E217"/>
    <mergeCell ref="H217:L217"/>
    <mergeCell ref="A231:E231"/>
    <mergeCell ref="H231:M231"/>
    <mergeCell ref="A245:E245"/>
    <mergeCell ref="H245:L245"/>
    <mergeCell ref="A175:E175"/>
    <mergeCell ref="H175:M175"/>
    <mergeCell ref="A189:E189"/>
    <mergeCell ref="H189:L189"/>
    <mergeCell ref="A203:E203"/>
    <mergeCell ref="H203:L203"/>
    <mergeCell ref="A131:E131"/>
    <mergeCell ref="H131:L131"/>
    <mergeCell ref="A145:E145"/>
    <mergeCell ref="H145:M145"/>
    <mergeCell ref="A159:E159"/>
    <mergeCell ref="H159:L159"/>
    <mergeCell ref="A59:E59"/>
    <mergeCell ref="H59:M59"/>
    <mergeCell ref="A73:E73"/>
    <mergeCell ref="H73:L73"/>
    <mergeCell ref="A89:E89"/>
    <mergeCell ref="H89:M89"/>
    <mergeCell ref="A103:E103"/>
    <mergeCell ref="H103:L103"/>
    <mergeCell ref="A117:E117"/>
    <mergeCell ref="H117:L117"/>
    <mergeCell ref="A3:E3"/>
    <mergeCell ref="H3:M3"/>
    <mergeCell ref="A17:E17"/>
    <mergeCell ref="H17:L17"/>
    <mergeCell ref="A45:E45"/>
    <mergeCell ref="H45:L45"/>
    <mergeCell ref="A31:E31"/>
    <mergeCell ref="H31:L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2025-12-28T12:37:41Z</dcterms:created>
  <dcterms:modified xsi:type="dcterms:W3CDTF">2025-12-28T16:02:08Z</dcterms:modified>
</cp:coreProperties>
</file>