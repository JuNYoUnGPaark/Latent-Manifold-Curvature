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17c7ff801bbbb06/문서/LMC/Auto_Aware/Supervison/"/>
    </mc:Choice>
  </mc:AlternateContent>
  <xr:revisionPtr revIDLastSave="0" documentId="8_{3277F1B9-98E0-435C-AAE8-5480E6861A31}" xr6:coauthVersionLast="47" xr6:coauthVersionMax="47" xr10:uidLastSave="{00000000-0000-0000-0000-000000000000}"/>
  <bookViews>
    <workbookView xWindow="17940" yWindow="870" windowWidth="17580" windowHeight="18885" xr2:uid="{11253D7C-2014-48B2-A2AE-2CE11202C6A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85" i="1" l="1"/>
  <c r="L85" i="1"/>
  <c r="K85" i="1"/>
  <c r="F85" i="1"/>
  <c r="E85" i="1"/>
  <c r="D85" i="1"/>
  <c r="M71" i="1"/>
  <c r="L71" i="1"/>
  <c r="K71" i="1"/>
  <c r="F71" i="1"/>
  <c r="E71" i="1"/>
  <c r="D71" i="1"/>
  <c r="M57" i="1"/>
  <c r="L57" i="1"/>
  <c r="K57" i="1"/>
  <c r="F57" i="1"/>
  <c r="E57" i="1"/>
  <c r="D57" i="1"/>
  <c r="M43" i="1"/>
  <c r="L43" i="1"/>
  <c r="K43" i="1"/>
  <c r="F43" i="1"/>
  <c r="E43" i="1"/>
  <c r="D43" i="1"/>
  <c r="M29" i="1"/>
  <c r="L29" i="1"/>
  <c r="K29" i="1"/>
  <c r="F29" i="1"/>
  <c r="E29" i="1"/>
  <c r="D29" i="1"/>
  <c r="M15" i="1"/>
  <c r="L15" i="1"/>
  <c r="K15" i="1"/>
  <c r="F15" i="1"/>
  <c r="E15" i="1"/>
  <c r="D15" i="1"/>
</calcChain>
</file>

<file path=xl/sharedStrings.xml><?xml version="1.0" encoding="utf-8"?>
<sst xmlns="http://schemas.openxmlformats.org/spreadsheetml/2006/main" count="85" uniqueCount="19">
  <si>
    <t>Waist bends forward -&gt; Frontal elevation of arms</t>
    <phoneticPr fontId="2" type="noConversion"/>
  </si>
  <si>
    <t>Frontal elevation of arms -&gt; Waist bends forward</t>
    <phoneticPr fontId="2" type="noConversion"/>
  </si>
  <si>
    <t>Subject_ID</t>
    <phoneticPr fontId="2" type="noConversion"/>
  </si>
  <si>
    <t>Pred</t>
    <phoneticPr fontId="2" type="noConversion"/>
  </si>
  <si>
    <t>GT</t>
    <phoneticPr fontId="2" type="noConversion"/>
  </si>
  <si>
    <t>MAE</t>
    <phoneticPr fontId="2" type="noConversion"/>
  </si>
  <si>
    <t>k_hat</t>
    <phoneticPr fontId="2" type="noConversion"/>
  </si>
  <si>
    <t>entropy</t>
    <phoneticPr fontId="2" type="noConversion"/>
  </si>
  <si>
    <t>Waist bends forward -&gt; Knees bending</t>
    <phoneticPr fontId="2" type="noConversion"/>
  </si>
  <si>
    <t>Knees bending -&gt; Waist bends forward</t>
    <phoneticPr fontId="2" type="noConversion"/>
  </si>
  <si>
    <t>Frontal elevation of arms -&gt; Knees bending</t>
    <phoneticPr fontId="2" type="noConversion"/>
  </si>
  <si>
    <t>Knees bending -&gt; Frontal elevation of arms</t>
    <phoneticPr fontId="2" type="noConversion"/>
  </si>
  <si>
    <t>Knees bending -&gt; Jump front and back</t>
    <phoneticPr fontId="2" type="noConversion"/>
  </si>
  <si>
    <t>Jump front and back -&gt; Knees bending</t>
    <phoneticPr fontId="2" type="noConversion"/>
  </si>
  <si>
    <t>Waist bends forward -&gt; Jump front and back</t>
    <phoneticPr fontId="2" type="noConversion"/>
  </si>
  <si>
    <t>Jump front and back -&gt; Waist bends forward</t>
    <phoneticPr fontId="2" type="noConversion"/>
  </si>
  <si>
    <t>Frontal elevation of arms -&gt; Jump front and back</t>
    <phoneticPr fontId="2" type="noConversion"/>
  </si>
  <si>
    <t>Jump front and back -&gt; Frontal elevation of arms</t>
    <phoneticPr fontId="2" type="noConversion"/>
  </si>
  <si>
    <t>A2 Test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</si>
</sst>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charset val="129"/>
      <scheme val="minor"/>
    </font>
    <font>
      <sz val="16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2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0">
    <xf numFmtId="0" fontId="0" fillId="0" borderId="0" xfId="0">
      <alignment vertical="center"/>
    </xf>
    <xf numFmtId="0" fontId="1" fillId="2" borderId="0" xfId="0" applyFont="1" applyFill="1">
      <alignment vertical="center"/>
    </xf>
    <xf numFmtId="0" fontId="0" fillId="2" borderId="0" xfId="0" applyFill="1">
      <alignment vertical="center"/>
    </xf>
    <xf numFmtId="0" fontId="3" fillId="3" borderId="2" xfId="0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2" fontId="0" fillId="0" borderId="2" xfId="0" applyNumberFormat="1" applyBorder="1" applyAlignment="1">
      <alignment horizontal="center" vertical="center"/>
    </xf>
    <xf numFmtId="0" fontId="0" fillId="4" borderId="2" xfId="0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3" fillId="0" borderId="1" xfId="0" applyFont="1" applyBorder="1" applyAlignment="1">
      <alignment horizontal="lef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9631C5-73E5-415A-A7F5-E7CC3D5B176D}">
  <dimension ref="A1:M85"/>
  <sheetViews>
    <sheetView tabSelected="1" workbookViewId="0">
      <selection activeCell="K50" sqref="K50"/>
    </sheetView>
  </sheetViews>
  <sheetFormatPr defaultRowHeight="16.5" x14ac:dyDescent="0.3"/>
  <cols>
    <col min="1" max="6" width="10.5" customWidth="1"/>
    <col min="7" max="7" width="7.5" customWidth="1"/>
    <col min="8" max="13" width="10.5" customWidth="1"/>
  </cols>
  <sheetData>
    <row r="1" spans="1:13" ht="26.25" x14ac:dyDescent="0.3">
      <c r="A1" s="1" t="s">
        <v>18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3" spans="1:13" x14ac:dyDescent="0.3">
      <c r="A3" s="8" t="s">
        <v>0</v>
      </c>
      <c r="B3" s="8"/>
      <c r="C3" s="8"/>
      <c r="D3" s="8"/>
      <c r="E3" s="8"/>
      <c r="H3" s="9" t="s">
        <v>1</v>
      </c>
      <c r="I3" s="9"/>
      <c r="J3" s="9"/>
      <c r="K3" s="9"/>
      <c r="L3" s="9"/>
      <c r="M3" s="9"/>
    </row>
    <row r="4" spans="1:13" x14ac:dyDescent="0.3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H4" s="3" t="s">
        <v>2</v>
      </c>
      <c r="I4" s="3" t="s">
        <v>3</v>
      </c>
      <c r="J4" s="3" t="s">
        <v>4</v>
      </c>
      <c r="K4" s="3" t="s">
        <v>5</v>
      </c>
      <c r="L4" s="3" t="s">
        <v>6</v>
      </c>
      <c r="M4" s="3" t="s">
        <v>7</v>
      </c>
    </row>
    <row r="5" spans="1:13" x14ac:dyDescent="0.3">
      <c r="A5" s="4">
        <v>1</v>
      </c>
      <c r="B5" s="4">
        <v>19.03</v>
      </c>
      <c r="C5" s="4">
        <v>20</v>
      </c>
      <c r="D5" s="4">
        <v>0.97</v>
      </c>
      <c r="E5" s="4">
        <v>1.04</v>
      </c>
      <c r="F5" s="4">
        <v>9.4E-2</v>
      </c>
      <c r="H5" s="4">
        <v>1</v>
      </c>
      <c r="I5" s="4">
        <v>27.27</v>
      </c>
      <c r="J5" s="4">
        <v>21</v>
      </c>
      <c r="K5" s="4">
        <v>6.27</v>
      </c>
      <c r="L5" s="4">
        <v>1.01</v>
      </c>
      <c r="M5" s="4">
        <v>2.5999999999999999E-2</v>
      </c>
    </row>
    <row r="6" spans="1:13" x14ac:dyDescent="0.3">
      <c r="A6" s="4">
        <v>2</v>
      </c>
      <c r="B6" s="4">
        <v>19.239999999999998</v>
      </c>
      <c r="C6" s="4">
        <v>20</v>
      </c>
      <c r="D6" s="4">
        <v>0.76</v>
      </c>
      <c r="E6" s="4">
        <v>1.02</v>
      </c>
      <c r="F6" s="4">
        <v>5.2999999999999999E-2</v>
      </c>
      <c r="H6" s="4">
        <v>2</v>
      </c>
      <c r="I6" s="4">
        <v>17.649999999999999</v>
      </c>
      <c r="J6" s="4">
        <v>19</v>
      </c>
      <c r="K6" s="4">
        <v>1.35</v>
      </c>
      <c r="L6" s="4">
        <v>1.01</v>
      </c>
      <c r="M6" s="4">
        <v>3.6999999999999998E-2</v>
      </c>
    </row>
    <row r="7" spans="1:13" x14ac:dyDescent="0.3">
      <c r="A7" s="4">
        <v>3</v>
      </c>
      <c r="B7" s="4">
        <v>17.03</v>
      </c>
      <c r="C7" s="4">
        <v>20</v>
      </c>
      <c r="D7" s="4">
        <v>2.97</v>
      </c>
      <c r="E7" s="4">
        <v>1.17</v>
      </c>
      <c r="F7" s="4">
        <v>0.218</v>
      </c>
      <c r="H7" s="4">
        <v>3</v>
      </c>
      <c r="I7" s="4">
        <v>18.32</v>
      </c>
      <c r="J7" s="4">
        <v>21</v>
      </c>
      <c r="K7" s="4">
        <v>2.68</v>
      </c>
      <c r="L7" s="4">
        <v>1.96</v>
      </c>
      <c r="M7" s="4">
        <v>0.375</v>
      </c>
    </row>
    <row r="8" spans="1:13" x14ac:dyDescent="0.3">
      <c r="A8" s="4">
        <v>4</v>
      </c>
      <c r="B8" s="4">
        <v>18.37</v>
      </c>
      <c r="C8" s="4">
        <v>20</v>
      </c>
      <c r="D8" s="4">
        <v>1.63</v>
      </c>
      <c r="E8" s="4">
        <v>1.05</v>
      </c>
      <c r="F8" s="4">
        <v>0.11</v>
      </c>
      <c r="H8" s="4">
        <v>4</v>
      </c>
      <c r="I8" s="4">
        <v>23.27</v>
      </c>
      <c r="J8" s="4">
        <v>20</v>
      </c>
      <c r="K8" s="4">
        <v>3.27</v>
      </c>
      <c r="L8" s="4">
        <v>1.02</v>
      </c>
      <c r="M8" s="4">
        <v>5.3999999999999999E-2</v>
      </c>
    </row>
    <row r="9" spans="1:13" x14ac:dyDescent="0.3">
      <c r="A9" s="4">
        <v>5</v>
      </c>
      <c r="B9" s="4">
        <v>16.260000000000002</v>
      </c>
      <c r="C9" s="4">
        <v>20</v>
      </c>
      <c r="D9" s="4">
        <v>3.74</v>
      </c>
      <c r="E9" s="4">
        <v>1.03</v>
      </c>
      <c r="F9" s="4">
        <v>7.9000000000000001E-2</v>
      </c>
      <c r="H9" s="4">
        <v>5</v>
      </c>
      <c r="I9" s="4">
        <v>21.88</v>
      </c>
      <c r="J9" s="4">
        <v>20</v>
      </c>
      <c r="K9" s="4">
        <v>1.88</v>
      </c>
      <c r="L9" s="4">
        <v>1.01</v>
      </c>
      <c r="M9" s="4">
        <v>3.3000000000000002E-2</v>
      </c>
    </row>
    <row r="10" spans="1:13" x14ac:dyDescent="0.3">
      <c r="A10" s="4">
        <v>6</v>
      </c>
      <c r="B10" s="4">
        <v>14.78</v>
      </c>
      <c r="C10" s="4">
        <v>20</v>
      </c>
      <c r="D10" s="4">
        <v>5.22</v>
      </c>
      <c r="E10" s="4">
        <v>1.02</v>
      </c>
      <c r="F10" s="4">
        <v>6.6000000000000003E-2</v>
      </c>
      <c r="H10" s="4">
        <v>6</v>
      </c>
      <c r="I10" s="4">
        <v>16.09</v>
      </c>
      <c r="J10" s="4">
        <v>20</v>
      </c>
      <c r="K10" s="4">
        <v>3.91</v>
      </c>
      <c r="L10" s="4">
        <v>1.04</v>
      </c>
      <c r="M10" s="4">
        <v>9.0999999999999998E-2</v>
      </c>
    </row>
    <row r="11" spans="1:13" x14ac:dyDescent="0.3">
      <c r="A11" s="4">
        <v>7</v>
      </c>
      <c r="B11" s="4">
        <v>17.920000000000002</v>
      </c>
      <c r="C11" s="4">
        <v>20</v>
      </c>
      <c r="D11" s="4">
        <v>2.08</v>
      </c>
      <c r="E11" s="4">
        <v>1.07</v>
      </c>
      <c r="F11" s="4">
        <v>0.155</v>
      </c>
      <c r="H11" s="4">
        <v>7</v>
      </c>
      <c r="I11" s="4">
        <v>16.940000000000001</v>
      </c>
      <c r="J11" s="4">
        <v>20</v>
      </c>
      <c r="K11" s="4">
        <v>3.06</v>
      </c>
      <c r="L11" s="4">
        <v>1.02</v>
      </c>
      <c r="M11" s="4">
        <v>4.4999999999999998E-2</v>
      </c>
    </row>
    <row r="12" spans="1:13" x14ac:dyDescent="0.3">
      <c r="A12" s="4">
        <v>8</v>
      </c>
      <c r="B12" s="4">
        <v>23.9</v>
      </c>
      <c r="C12" s="4">
        <v>19</v>
      </c>
      <c r="D12" s="4">
        <v>4.9000000000000004</v>
      </c>
      <c r="E12" s="4">
        <v>2.04</v>
      </c>
      <c r="F12" s="4">
        <v>0.42299999999999999</v>
      </c>
      <c r="H12" s="4">
        <v>8</v>
      </c>
      <c r="I12" s="5">
        <v>12.54</v>
      </c>
      <c r="J12" s="4">
        <v>21</v>
      </c>
      <c r="K12" s="5">
        <v>8.4600000000000009</v>
      </c>
      <c r="L12" s="4">
        <v>1.04</v>
      </c>
      <c r="M12" s="4">
        <v>8.2000000000000003E-2</v>
      </c>
    </row>
    <row r="13" spans="1:13" x14ac:dyDescent="0.3">
      <c r="A13" s="4">
        <v>9</v>
      </c>
      <c r="B13" s="4">
        <v>17.14</v>
      </c>
      <c r="C13" s="4">
        <v>19</v>
      </c>
      <c r="D13" s="4">
        <v>1.86</v>
      </c>
      <c r="E13" s="4">
        <v>1.08</v>
      </c>
      <c r="F13" s="4">
        <v>0.16900000000000001</v>
      </c>
      <c r="H13" s="4">
        <v>9</v>
      </c>
      <c r="I13" s="4">
        <v>13.12</v>
      </c>
      <c r="J13" s="4">
        <v>21</v>
      </c>
      <c r="K13" s="4">
        <v>7.88</v>
      </c>
      <c r="L13" s="4">
        <v>1.02</v>
      </c>
      <c r="M13" s="4">
        <v>5.1999999999999998E-2</v>
      </c>
    </row>
    <row r="14" spans="1:13" x14ac:dyDescent="0.3">
      <c r="A14" s="4">
        <v>10</v>
      </c>
      <c r="B14" s="5">
        <v>16.829999999999998</v>
      </c>
      <c r="C14" s="4">
        <v>20</v>
      </c>
      <c r="D14" s="5">
        <v>3.17</v>
      </c>
      <c r="E14" s="4">
        <v>1.02</v>
      </c>
      <c r="F14" s="4">
        <v>4.2999999999999997E-2</v>
      </c>
      <c r="H14" s="4">
        <v>10</v>
      </c>
      <c r="I14" s="5">
        <v>13.02</v>
      </c>
      <c r="J14" s="4">
        <v>20</v>
      </c>
      <c r="K14" s="5">
        <v>6.98</v>
      </c>
      <c r="L14" s="4">
        <v>1.04</v>
      </c>
      <c r="M14" s="4">
        <v>8.2000000000000003E-2</v>
      </c>
    </row>
    <row r="15" spans="1:13" x14ac:dyDescent="0.3">
      <c r="D15" s="6">
        <f>AVERAGE(D5:D14)</f>
        <v>2.7299999999999995</v>
      </c>
      <c r="E15" s="6">
        <f>AVERAGE(E5:E14)</f>
        <v>1.1540000000000001</v>
      </c>
      <c r="F15" s="6">
        <f>AVERAGE(F5:F14)</f>
        <v>0.14099999999999999</v>
      </c>
      <c r="K15" s="6">
        <f>AVERAGE(K5:K14)</f>
        <v>4.5739999999999998</v>
      </c>
      <c r="L15" s="6">
        <f>AVERAGE(L5:L14)</f>
        <v>1.1169999999999998</v>
      </c>
      <c r="M15" s="6">
        <f>AVERAGE(M5:M14)</f>
        <v>8.77E-2</v>
      </c>
    </row>
    <row r="17" spans="1:13" x14ac:dyDescent="0.3">
      <c r="A17" s="8" t="s">
        <v>8</v>
      </c>
      <c r="B17" s="8"/>
      <c r="C17" s="8"/>
      <c r="D17" s="8"/>
      <c r="E17" s="8"/>
      <c r="H17" s="8" t="s">
        <v>9</v>
      </c>
      <c r="I17" s="8"/>
      <c r="J17" s="8"/>
      <c r="K17" s="8"/>
      <c r="L17" s="8"/>
    </row>
    <row r="18" spans="1:13" x14ac:dyDescent="0.3">
      <c r="A18" s="3" t="s">
        <v>2</v>
      </c>
      <c r="B18" s="3" t="s">
        <v>3</v>
      </c>
      <c r="C18" s="3" t="s">
        <v>4</v>
      </c>
      <c r="D18" s="3" t="s">
        <v>5</v>
      </c>
      <c r="E18" s="3" t="s">
        <v>6</v>
      </c>
      <c r="F18" s="3" t="s">
        <v>7</v>
      </c>
      <c r="H18" s="3" t="s">
        <v>2</v>
      </c>
      <c r="I18" s="3" t="s">
        <v>3</v>
      </c>
      <c r="J18" s="3" t="s">
        <v>4</v>
      </c>
      <c r="K18" s="3" t="s">
        <v>5</v>
      </c>
      <c r="L18" s="3" t="s">
        <v>6</v>
      </c>
      <c r="M18" s="3" t="s">
        <v>7</v>
      </c>
    </row>
    <row r="19" spans="1:13" x14ac:dyDescent="0.3">
      <c r="A19" s="4">
        <v>1</v>
      </c>
      <c r="B19" s="4">
        <v>17.93</v>
      </c>
      <c r="C19" s="4">
        <v>20</v>
      </c>
      <c r="D19" s="4">
        <v>2.0699999999999998</v>
      </c>
      <c r="E19" s="4">
        <v>1.0900000000000001</v>
      </c>
      <c r="F19" s="4">
        <v>0.17799999999999999</v>
      </c>
      <c r="H19" s="4">
        <v>1</v>
      </c>
      <c r="I19" s="4">
        <v>15.9</v>
      </c>
      <c r="J19" s="4">
        <v>21</v>
      </c>
      <c r="K19" s="4">
        <v>5.0999999999999996</v>
      </c>
      <c r="L19" s="4">
        <v>1.01</v>
      </c>
      <c r="M19" s="4">
        <v>4.1000000000000002E-2</v>
      </c>
    </row>
    <row r="20" spans="1:13" x14ac:dyDescent="0.3">
      <c r="A20" s="4">
        <v>2</v>
      </c>
      <c r="B20" s="4">
        <v>28.23</v>
      </c>
      <c r="C20" s="4">
        <v>21</v>
      </c>
      <c r="D20" s="4">
        <v>7.23</v>
      </c>
      <c r="E20" s="4">
        <v>1.05</v>
      </c>
      <c r="F20" s="4">
        <v>0.11899999999999999</v>
      </c>
      <c r="H20" s="4">
        <v>2</v>
      </c>
      <c r="I20" s="4">
        <v>17.399999999999999</v>
      </c>
      <c r="J20" s="4">
        <v>19</v>
      </c>
      <c r="K20" s="4">
        <v>1.6</v>
      </c>
      <c r="L20" s="4">
        <v>1.03</v>
      </c>
      <c r="M20" s="4">
        <v>6.8000000000000005E-2</v>
      </c>
    </row>
    <row r="21" spans="1:13" x14ac:dyDescent="0.3">
      <c r="A21" s="4">
        <v>3</v>
      </c>
      <c r="B21" s="4">
        <v>17.36</v>
      </c>
      <c r="C21" s="4">
        <v>21</v>
      </c>
      <c r="D21" s="4">
        <v>3.64</v>
      </c>
      <c r="E21" s="4">
        <v>1.08</v>
      </c>
      <c r="F21" s="4">
        <v>0.14099999999999999</v>
      </c>
      <c r="H21" s="4">
        <v>3</v>
      </c>
      <c r="I21" s="4">
        <v>12.61</v>
      </c>
      <c r="J21" s="4">
        <v>21</v>
      </c>
      <c r="K21" s="4">
        <v>8.39</v>
      </c>
      <c r="L21" s="4">
        <v>1.06</v>
      </c>
      <c r="M21" s="4">
        <v>0.124</v>
      </c>
    </row>
    <row r="22" spans="1:13" x14ac:dyDescent="0.3">
      <c r="A22" s="4">
        <v>4</v>
      </c>
      <c r="B22" s="4">
        <v>13.38</v>
      </c>
      <c r="C22" s="4">
        <v>19</v>
      </c>
      <c r="D22" s="4">
        <v>5.62</v>
      </c>
      <c r="E22" s="4">
        <v>1.08</v>
      </c>
      <c r="F22" s="4">
        <v>0.17499999999999999</v>
      </c>
      <c r="H22" s="4">
        <v>4</v>
      </c>
      <c r="I22" s="4">
        <v>27.18</v>
      </c>
      <c r="J22" s="4">
        <v>20</v>
      </c>
      <c r="K22" s="4">
        <v>7.18</v>
      </c>
      <c r="L22" s="4">
        <v>1.05</v>
      </c>
      <c r="M22" s="4">
        <v>0.107</v>
      </c>
    </row>
    <row r="23" spans="1:13" x14ac:dyDescent="0.3">
      <c r="A23" s="4">
        <v>5</v>
      </c>
      <c r="B23" s="4">
        <v>20.86</v>
      </c>
      <c r="C23" s="4">
        <v>20</v>
      </c>
      <c r="D23" s="4">
        <v>0.86</v>
      </c>
      <c r="E23" s="4">
        <v>1.01</v>
      </c>
      <c r="F23" s="4">
        <v>3.4000000000000002E-2</v>
      </c>
      <c r="H23" s="4">
        <v>5</v>
      </c>
      <c r="I23" s="4">
        <v>14.68</v>
      </c>
      <c r="J23" s="4">
        <v>20</v>
      </c>
      <c r="K23" s="4">
        <v>5.32</v>
      </c>
      <c r="L23" s="4">
        <v>1.03</v>
      </c>
      <c r="M23" s="4">
        <v>7.4999999999999997E-2</v>
      </c>
    </row>
    <row r="24" spans="1:13" x14ac:dyDescent="0.3">
      <c r="A24" s="4">
        <v>6</v>
      </c>
      <c r="B24" s="4">
        <v>10.38</v>
      </c>
      <c r="C24" s="4">
        <v>20</v>
      </c>
      <c r="D24" s="4">
        <v>9.6199999999999992</v>
      </c>
      <c r="E24" s="4">
        <v>1.04</v>
      </c>
      <c r="F24" s="4">
        <v>9.8000000000000004E-2</v>
      </c>
      <c r="H24" s="4">
        <v>6</v>
      </c>
      <c r="I24" s="4">
        <v>11.18</v>
      </c>
      <c r="J24" s="4">
        <v>20</v>
      </c>
      <c r="K24" s="4">
        <v>8.82</v>
      </c>
      <c r="L24" s="4">
        <v>2.08</v>
      </c>
      <c r="M24" s="4">
        <v>0.35399999999999998</v>
      </c>
    </row>
    <row r="25" spans="1:13" x14ac:dyDescent="0.3">
      <c r="A25" s="4">
        <v>7</v>
      </c>
      <c r="B25" s="4">
        <v>20.420000000000002</v>
      </c>
      <c r="C25" s="4">
        <v>21</v>
      </c>
      <c r="D25" s="4">
        <v>0.57999999999999996</v>
      </c>
      <c r="E25" s="4">
        <v>1.1100000000000001</v>
      </c>
      <c r="F25" s="4">
        <v>0.22800000000000001</v>
      </c>
      <c r="H25" s="4">
        <v>7</v>
      </c>
      <c r="I25" s="4">
        <v>13.27</v>
      </c>
      <c r="J25" s="4">
        <v>20</v>
      </c>
      <c r="K25" s="4">
        <v>6.73</v>
      </c>
      <c r="L25" s="4">
        <v>1.06</v>
      </c>
      <c r="M25" s="4">
        <v>0.13500000000000001</v>
      </c>
    </row>
    <row r="26" spans="1:13" x14ac:dyDescent="0.3">
      <c r="A26" s="4">
        <v>8</v>
      </c>
      <c r="B26" s="4">
        <v>15.75</v>
      </c>
      <c r="C26" s="4">
        <v>21</v>
      </c>
      <c r="D26" s="4">
        <v>5.25</v>
      </c>
      <c r="E26" s="4">
        <v>2.09</v>
      </c>
      <c r="F26" s="4">
        <v>0.318</v>
      </c>
      <c r="H26" s="4">
        <v>8</v>
      </c>
      <c r="I26" s="4">
        <v>8.9499999999999993</v>
      </c>
      <c r="J26" s="4">
        <v>21</v>
      </c>
      <c r="K26" s="4">
        <v>12.05</v>
      </c>
      <c r="L26" s="4">
        <v>1.77</v>
      </c>
      <c r="M26" s="4">
        <v>0.28799999999999998</v>
      </c>
    </row>
    <row r="27" spans="1:13" x14ac:dyDescent="0.3">
      <c r="A27" s="4">
        <v>9</v>
      </c>
      <c r="B27" s="4">
        <v>16.86</v>
      </c>
      <c r="C27" s="4">
        <v>21</v>
      </c>
      <c r="D27" s="4">
        <v>4.1399999999999997</v>
      </c>
      <c r="E27" s="4">
        <v>1.06</v>
      </c>
      <c r="F27" s="4">
        <v>0.13700000000000001</v>
      </c>
      <c r="H27" s="4">
        <v>9</v>
      </c>
      <c r="I27" s="4">
        <v>15.1</v>
      </c>
      <c r="J27" s="4">
        <v>21</v>
      </c>
      <c r="K27" s="4">
        <v>5.9</v>
      </c>
      <c r="L27" s="4">
        <v>1.05</v>
      </c>
      <c r="M27" s="4">
        <v>0.10299999999999999</v>
      </c>
    </row>
    <row r="28" spans="1:13" x14ac:dyDescent="0.3">
      <c r="A28" s="4">
        <v>10</v>
      </c>
      <c r="B28" s="5">
        <v>24.18</v>
      </c>
      <c r="C28" s="4">
        <v>21</v>
      </c>
      <c r="D28" s="5">
        <v>3.18</v>
      </c>
      <c r="E28" s="5">
        <v>1.01</v>
      </c>
      <c r="F28" s="4">
        <v>0.04</v>
      </c>
      <c r="H28" s="4">
        <v>10</v>
      </c>
      <c r="I28" s="5">
        <v>9.44</v>
      </c>
      <c r="J28" s="4">
        <v>20</v>
      </c>
      <c r="K28" s="5">
        <v>10.56</v>
      </c>
      <c r="L28" s="4">
        <v>1.07</v>
      </c>
      <c r="M28" s="4">
        <v>0.13400000000000001</v>
      </c>
    </row>
    <row r="29" spans="1:13" x14ac:dyDescent="0.3">
      <c r="D29" s="6">
        <f>AVERAGE(D19:D28)</f>
        <v>4.2189999999999994</v>
      </c>
      <c r="E29" s="6">
        <f>AVERAGE(E19:E28)</f>
        <v>1.1620000000000001</v>
      </c>
      <c r="F29" s="6">
        <f>AVERAGE(F19:F28)</f>
        <v>0.14679999999999999</v>
      </c>
      <c r="K29" s="6">
        <f>AVERAGE(K19:K28)</f>
        <v>7.1649999999999991</v>
      </c>
      <c r="L29" s="6">
        <f>AVERAGE(L19:L28)</f>
        <v>1.2210000000000001</v>
      </c>
      <c r="M29" s="6">
        <f>AVERAGE(M19:M28)</f>
        <v>0.14289999999999997</v>
      </c>
    </row>
    <row r="30" spans="1:13" x14ac:dyDescent="0.3">
      <c r="D30" s="7"/>
      <c r="E30" s="7"/>
      <c r="F30" s="7"/>
      <c r="K30" s="7"/>
      <c r="L30" s="7"/>
      <c r="M30" s="7"/>
    </row>
    <row r="31" spans="1:13" x14ac:dyDescent="0.3">
      <c r="A31" s="8" t="s">
        <v>10</v>
      </c>
      <c r="B31" s="8"/>
      <c r="C31" s="8"/>
      <c r="D31" s="8"/>
      <c r="E31" s="8"/>
      <c r="H31" s="8" t="s">
        <v>11</v>
      </c>
      <c r="I31" s="8"/>
      <c r="J31" s="8"/>
      <c r="K31" s="8"/>
      <c r="L31" s="8"/>
    </row>
    <row r="32" spans="1:13" x14ac:dyDescent="0.3">
      <c r="A32" s="3" t="s">
        <v>2</v>
      </c>
      <c r="B32" s="3" t="s">
        <v>3</v>
      </c>
      <c r="C32" s="3" t="s">
        <v>4</v>
      </c>
      <c r="D32" s="3" t="s">
        <v>5</v>
      </c>
      <c r="E32" s="3" t="s">
        <v>6</v>
      </c>
      <c r="F32" s="3" t="s">
        <v>7</v>
      </c>
      <c r="H32" s="3" t="s">
        <v>2</v>
      </c>
      <c r="I32" s="3" t="s">
        <v>3</v>
      </c>
      <c r="J32" s="3" t="s">
        <v>4</v>
      </c>
      <c r="K32" s="3" t="s">
        <v>5</v>
      </c>
      <c r="L32" s="3" t="s">
        <v>6</v>
      </c>
      <c r="M32" s="3" t="s">
        <v>7</v>
      </c>
    </row>
    <row r="33" spans="1:13" x14ac:dyDescent="0.3">
      <c r="A33" s="4">
        <v>1</v>
      </c>
      <c r="B33" s="4">
        <v>21.02</v>
      </c>
      <c r="C33" s="4">
        <v>20</v>
      </c>
      <c r="D33" s="4">
        <v>1.02</v>
      </c>
      <c r="E33" s="4">
        <v>1.06</v>
      </c>
      <c r="F33" s="4">
        <v>0.13700000000000001</v>
      </c>
      <c r="H33" s="4">
        <v>1</v>
      </c>
      <c r="I33" s="4">
        <v>16.27</v>
      </c>
      <c r="J33" s="4">
        <v>20</v>
      </c>
      <c r="K33" s="4">
        <v>3.73</v>
      </c>
      <c r="L33" s="4">
        <v>1.02</v>
      </c>
      <c r="M33" s="4">
        <v>4.9000000000000002E-2</v>
      </c>
    </row>
    <row r="34" spans="1:13" x14ac:dyDescent="0.3">
      <c r="A34" s="4">
        <v>2</v>
      </c>
      <c r="B34" s="4">
        <v>22.99</v>
      </c>
      <c r="C34" s="4">
        <v>21</v>
      </c>
      <c r="D34" s="4">
        <v>1.99</v>
      </c>
      <c r="E34" s="4">
        <v>1.03</v>
      </c>
      <c r="F34" s="4">
        <v>7.3999999999999996E-2</v>
      </c>
      <c r="H34" s="4">
        <v>2</v>
      </c>
      <c r="I34" s="4">
        <v>22.53</v>
      </c>
      <c r="J34" s="4">
        <v>20</v>
      </c>
      <c r="K34" s="4">
        <v>2.5299999999999998</v>
      </c>
      <c r="L34" s="4">
        <v>1.02</v>
      </c>
      <c r="M34" s="4">
        <v>4.7E-2</v>
      </c>
    </row>
    <row r="35" spans="1:13" x14ac:dyDescent="0.3">
      <c r="A35" s="4">
        <v>3</v>
      </c>
      <c r="B35" s="4">
        <v>22.21</v>
      </c>
      <c r="C35" s="4">
        <v>21</v>
      </c>
      <c r="D35" s="4">
        <v>1.21</v>
      </c>
      <c r="E35" s="4">
        <v>2.0299999999999998</v>
      </c>
      <c r="F35" s="4">
        <v>0.35199999999999998</v>
      </c>
      <c r="H35" s="4">
        <v>3</v>
      </c>
      <c r="I35" s="4">
        <v>15.39</v>
      </c>
      <c r="J35" s="4">
        <v>20</v>
      </c>
      <c r="K35" s="4">
        <v>4.6100000000000003</v>
      </c>
      <c r="L35" s="4">
        <v>1.1200000000000001</v>
      </c>
      <c r="M35" s="4">
        <v>0.19700000000000001</v>
      </c>
    </row>
    <row r="36" spans="1:13" x14ac:dyDescent="0.3">
      <c r="A36" s="4">
        <v>4</v>
      </c>
      <c r="B36" s="4">
        <v>18.72</v>
      </c>
      <c r="C36" s="4">
        <v>19</v>
      </c>
      <c r="D36" s="4">
        <v>0.28000000000000003</v>
      </c>
      <c r="E36" s="4">
        <v>1.03</v>
      </c>
      <c r="F36" s="4">
        <v>6.5000000000000002E-2</v>
      </c>
      <c r="H36" s="4">
        <v>4</v>
      </c>
      <c r="I36" s="4">
        <v>20.18</v>
      </c>
      <c r="J36" s="4">
        <v>20</v>
      </c>
      <c r="K36" s="4">
        <v>0.18</v>
      </c>
      <c r="L36" s="4">
        <v>1.03</v>
      </c>
      <c r="M36" s="4">
        <v>7.5999999999999998E-2</v>
      </c>
    </row>
    <row r="37" spans="1:13" x14ac:dyDescent="0.3">
      <c r="A37" s="4">
        <v>5</v>
      </c>
      <c r="B37" s="4">
        <v>22.34</v>
      </c>
      <c r="C37" s="4">
        <v>20</v>
      </c>
      <c r="D37" s="4">
        <v>2.34</v>
      </c>
      <c r="E37" s="4">
        <v>1.01</v>
      </c>
      <c r="F37" s="4">
        <v>3.5999999999999997E-2</v>
      </c>
      <c r="H37" s="4">
        <v>5</v>
      </c>
      <c r="I37" s="4">
        <v>14.58</v>
      </c>
      <c r="J37" s="4">
        <v>20</v>
      </c>
      <c r="K37" s="4">
        <v>5.42</v>
      </c>
      <c r="L37" s="4">
        <v>1.05</v>
      </c>
      <c r="M37" s="4">
        <v>0.114</v>
      </c>
    </row>
    <row r="38" spans="1:13" x14ac:dyDescent="0.3">
      <c r="A38" s="4">
        <v>6</v>
      </c>
      <c r="B38" s="4">
        <v>12.27</v>
      </c>
      <c r="C38" s="4">
        <v>20</v>
      </c>
      <c r="D38" s="4">
        <v>7.73</v>
      </c>
      <c r="E38" s="4">
        <v>1.06</v>
      </c>
      <c r="F38" s="4">
        <v>0.128</v>
      </c>
      <c r="H38" s="4">
        <v>6</v>
      </c>
      <c r="I38" s="4">
        <v>10.35</v>
      </c>
      <c r="J38" s="4">
        <v>20</v>
      </c>
      <c r="K38" s="4">
        <v>9.65</v>
      </c>
      <c r="L38" s="4">
        <v>2</v>
      </c>
      <c r="M38" s="4">
        <v>0.45100000000000001</v>
      </c>
    </row>
    <row r="39" spans="1:13" x14ac:dyDescent="0.3">
      <c r="A39" s="4">
        <v>7</v>
      </c>
      <c r="B39" s="4">
        <v>16.13</v>
      </c>
      <c r="C39" s="4">
        <v>21</v>
      </c>
      <c r="D39" s="4">
        <v>4.87</v>
      </c>
      <c r="E39" s="4">
        <v>1.1000000000000001</v>
      </c>
      <c r="F39" s="4">
        <v>0.17899999999999999</v>
      </c>
      <c r="H39" s="4">
        <v>7</v>
      </c>
      <c r="I39" s="4">
        <v>10.130000000000001</v>
      </c>
      <c r="J39" s="4">
        <v>20</v>
      </c>
      <c r="K39" s="4">
        <v>9.8699999999999992</v>
      </c>
      <c r="L39" s="4">
        <v>1.1000000000000001</v>
      </c>
      <c r="M39" s="4">
        <v>0.191</v>
      </c>
    </row>
    <row r="40" spans="1:13" x14ac:dyDescent="0.3">
      <c r="A40" s="4">
        <v>8</v>
      </c>
      <c r="B40" s="4">
        <v>11.83</v>
      </c>
      <c r="C40" s="4">
        <v>21</v>
      </c>
      <c r="D40" s="4">
        <v>9.17</v>
      </c>
      <c r="E40" s="4">
        <v>1.04</v>
      </c>
      <c r="F40" s="4">
        <v>8.7999999999999995E-2</v>
      </c>
      <c r="H40" s="4">
        <v>8</v>
      </c>
      <c r="I40" s="4">
        <v>18.829999999999998</v>
      </c>
      <c r="J40" s="4">
        <v>19</v>
      </c>
      <c r="K40" s="4">
        <v>0.17</v>
      </c>
      <c r="L40" s="4">
        <v>1.52</v>
      </c>
      <c r="M40" s="4">
        <v>0.32900000000000001</v>
      </c>
    </row>
    <row r="41" spans="1:13" x14ac:dyDescent="0.3">
      <c r="A41" s="4">
        <v>9</v>
      </c>
      <c r="B41" s="4">
        <v>21.53</v>
      </c>
      <c r="C41" s="4">
        <v>21</v>
      </c>
      <c r="D41" s="4">
        <v>0.53</v>
      </c>
      <c r="E41" s="4">
        <v>1.02</v>
      </c>
      <c r="F41" s="4">
        <v>4.9000000000000002E-2</v>
      </c>
      <c r="H41" s="4">
        <v>9</v>
      </c>
      <c r="I41" s="4">
        <v>16.29</v>
      </c>
      <c r="J41" s="4">
        <v>19</v>
      </c>
      <c r="K41" s="4">
        <v>2.71</v>
      </c>
      <c r="L41" s="4">
        <v>1.06</v>
      </c>
      <c r="M41" s="4">
        <v>0.125</v>
      </c>
    </row>
    <row r="42" spans="1:13" x14ac:dyDescent="0.3">
      <c r="A42" s="4">
        <v>10</v>
      </c>
      <c r="B42" s="5">
        <v>20.45</v>
      </c>
      <c r="C42" s="4">
        <v>21</v>
      </c>
      <c r="D42" s="5">
        <v>0.55000000000000004</v>
      </c>
      <c r="E42" s="5">
        <v>1.02</v>
      </c>
      <c r="F42" s="4">
        <v>5.7000000000000002E-2</v>
      </c>
      <c r="H42" s="4">
        <v>10</v>
      </c>
      <c r="I42" s="5">
        <v>13.39</v>
      </c>
      <c r="J42" s="4">
        <v>20</v>
      </c>
      <c r="K42" s="5">
        <v>6.61</v>
      </c>
      <c r="L42" s="4">
        <v>1.03</v>
      </c>
      <c r="M42" s="4">
        <v>6.7000000000000004E-2</v>
      </c>
    </row>
    <row r="43" spans="1:13" x14ac:dyDescent="0.3">
      <c r="D43" s="6">
        <f>AVERAGE(D33:D42)</f>
        <v>2.9690000000000003</v>
      </c>
      <c r="E43" s="6">
        <f>AVERAGE(E33:E42)</f>
        <v>1.1399999999999999</v>
      </c>
      <c r="F43" s="6">
        <f>AVERAGE(F33:F42)</f>
        <v>0.11649999999999998</v>
      </c>
      <c r="K43" s="6">
        <f>AVERAGE(K33:K42)</f>
        <v>4.548</v>
      </c>
      <c r="L43" s="6">
        <f>AVERAGE(L33:L42)</f>
        <v>1.1949999999999998</v>
      </c>
      <c r="M43" s="6">
        <f>AVERAGE(M33:M42)</f>
        <v>0.1646</v>
      </c>
    </row>
    <row r="45" spans="1:13" x14ac:dyDescent="0.3">
      <c r="A45" s="8" t="s">
        <v>12</v>
      </c>
      <c r="B45" s="8"/>
      <c r="C45" s="8"/>
      <c r="D45" s="8"/>
      <c r="E45" s="8"/>
      <c r="H45" s="8" t="s">
        <v>13</v>
      </c>
      <c r="I45" s="8"/>
      <c r="J45" s="8"/>
      <c r="K45" s="8"/>
      <c r="L45" s="8"/>
    </row>
    <row r="46" spans="1:13" x14ac:dyDescent="0.3">
      <c r="A46" s="3" t="s">
        <v>2</v>
      </c>
      <c r="B46" s="3" t="s">
        <v>3</v>
      </c>
      <c r="C46" s="3" t="s">
        <v>4</v>
      </c>
      <c r="D46" s="3" t="s">
        <v>5</v>
      </c>
      <c r="E46" s="3" t="s">
        <v>6</v>
      </c>
      <c r="F46" s="3" t="s">
        <v>7</v>
      </c>
      <c r="H46" s="3" t="s">
        <v>2</v>
      </c>
      <c r="I46" s="3" t="s">
        <v>3</v>
      </c>
      <c r="J46" s="3" t="s">
        <v>4</v>
      </c>
      <c r="K46" s="3" t="s">
        <v>5</v>
      </c>
      <c r="L46" s="3" t="s">
        <v>6</v>
      </c>
      <c r="M46" s="3" t="s">
        <v>7</v>
      </c>
    </row>
    <row r="47" spans="1:13" x14ac:dyDescent="0.3">
      <c r="A47" s="4">
        <v>1</v>
      </c>
      <c r="B47" s="4">
        <v>6.03</v>
      </c>
      <c r="C47" s="4">
        <v>20</v>
      </c>
      <c r="D47" s="4">
        <v>13.97</v>
      </c>
      <c r="E47" s="4">
        <v>1.02</v>
      </c>
      <c r="F47" s="4">
        <v>4.9000000000000002E-2</v>
      </c>
      <c r="H47" s="4">
        <v>1</v>
      </c>
      <c r="I47" s="4">
        <v>51.99</v>
      </c>
      <c r="J47" s="4">
        <v>20</v>
      </c>
      <c r="K47" s="4">
        <v>31.99</v>
      </c>
      <c r="L47" s="4">
        <v>1.39</v>
      </c>
      <c r="M47" s="4">
        <v>0.52900000000000003</v>
      </c>
    </row>
    <row r="48" spans="1:13" x14ac:dyDescent="0.3">
      <c r="A48" s="4">
        <v>2</v>
      </c>
      <c r="B48" s="4">
        <v>6.52</v>
      </c>
      <c r="C48" s="4">
        <v>22</v>
      </c>
      <c r="D48" s="4">
        <v>15.48</v>
      </c>
      <c r="E48" s="4">
        <v>1.02</v>
      </c>
      <c r="F48" s="4">
        <v>5.5E-2</v>
      </c>
      <c r="H48" s="4">
        <v>2</v>
      </c>
      <c r="I48" s="4">
        <v>61.69</v>
      </c>
      <c r="J48" s="4">
        <v>21</v>
      </c>
      <c r="K48" s="4">
        <v>40.69</v>
      </c>
      <c r="L48" s="4">
        <v>1.17</v>
      </c>
      <c r="M48" s="4">
        <v>0.312</v>
      </c>
    </row>
    <row r="49" spans="1:13" x14ac:dyDescent="0.3">
      <c r="A49" s="4">
        <v>3</v>
      </c>
      <c r="B49" s="4">
        <v>4.75</v>
      </c>
      <c r="C49" s="4">
        <v>21</v>
      </c>
      <c r="D49" s="4">
        <v>16.25</v>
      </c>
      <c r="E49" s="4">
        <v>1.07</v>
      </c>
      <c r="F49" s="4">
        <v>0.13700000000000001</v>
      </c>
      <c r="H49" s="4">
        <v>3</v>
      </c>
      <c r="I49" s="4">
        <v>74.61</v>
      </c>
      <c r="J49" s="4">
        <v>21</v>
      </c>
      <c r="K49" s="4">
        <v>53.61</v>
      </c>
      <c r="L49" s="4">
        <v>1.94</v>
      </c>
      <c r="M49" s="4">
        <v>0.68200000000000005</v>
      </c>
    </row>
    <row r="50" spans="1:13" x14ac:dyDescent="0.3">
      <c r="A50" s="4">
        <v>4</v>
      </c>
      <c r="B50" s="4">
        <v>6.93</v>
      </c>
      <c r="C50" s="4">
        <v>21</v>
      </c>
      <c r="D50" s="4">
        <v>14.07</v>
      </c>
      <c r="E50" s="4">
        <v>1.05</v>
      </c>
      <c r="F50" s="4">
        <v>0.11</v>
      </c>
      <c r="H50" s="4">
        <v>4</v>
      </c>
      <c r="I50" s="4">
        <v>73.63</v>
      </c>
      <c r="J50" s="4">
        <v>19</v>
      </c>
      <c r="K50" s="4">
        <v>54.63</v>
      </c>
      <c r="L50" s="4">
        <v>2.72</v>
      </c>
      <c r="M50" s="4">
        <v>0.98799999999999999</v>
      </c>
    </row>
    <row r="51" spans="1:13" x14ac:dyDescent="0.3">
      <c r="A51" s="4">
        <v>5</v>
      </c>
      <c r="B51" s="4">
        <v>5.6</v>
      </c>
      <c r="C51" s="4">
        <v>20</v>
      </c>
      <c r="D51" s="4">
        <v>14.4</v>
      </c>
      <c r="E51" s="4">
        <v>1.1000000000000001</v>
      </c>
      <c r="F51" s="4">
        <v>0.20300000000000001</v>
      </c>
      <c r="H51" s="4">
        <v>5</v>
      </c>
      <c r="I51" s="4">
        <v>65.59</v>
      </c>
      <c r="J51" s="4">
        <v>20</v>
      </c>
      <c r="K51" s="4">
        <v>45.59</v>
      </c>
      <c r="L51" s="4">
        <v>1.34</v>
      </c>
      <c r="M51" s="4">
        <v>0.44900000000000001</v>
      </c>
    </row>
    <row r="52" spans="1:13" x14ac:dyDescent="0.3">
      <c r="A52" s="4">
        <v>6</v>
      </c>
      <c r="B52" s="4">
        <v>5.08</v>
      </c>
      <c r="C52" s="4">
        <v>21</v>
      </c>
      <c r="D52" s="4">
        <v>15.92</v>
      </c>
      <c r="E52" s="4">
        <v>2.04</v>
      </c>
      <c r="F52" s="4">
        <v>0.48799999999999999</v>
      </c>
      <c r="H52" s="4">
        <v>6</v>
      </c>
      <c r="I52" s="4">
        <v>37.39</v>
      </c>
      <c r="J52" s="4">
        <v>20</v>
      </c>
      <c r="K52" s="4">
        <v>17.39</v>
      </c>
      <c r="L52" s="4">
        <v>1.94</v>
      </c>
      <c r="M52" s="4">
        <v>0.78100000000000003</v>
      </c>
    </row>
    <row r="53" spans="1:13" x14ac:dyDescent="0.3">
      <c r="A53" s="4">
        <v>7</v>
      </c>
      <c r="B53" s="4">
        <v>3.05</v>
      </c>
      <c r="C53" s="4">
        <v>19</v>
      </c>
      <c r="D53" s="4">
        <v>15.95</v>
      </c>
      <c r="E53" s="4">
        <v>1.1299999999999999</v>
      </c>
      <c r="F53" s="4">
        <v>0.248</v>
      </c>
      <c r="H53" s="4">
        <v>7</v>
      </c>
      <c r="I53" s="4">
        <v>50.62</v>
      </c>
      <c r="J53" s="4">
        <v>21</v>
      </c>
      <c r="K53" s="4">
        <v>29.62</v>
      </c>
      <c r="L53" s="4">
        <v>3.39</v>
      </c>
      <c r="M53" s="4">
        <v>1.0780000000000001</v>
      </c>
    </row>
    <row r="54" spans="1:13" x14ac:dyDescent="0.3">
      <c r="A54" s="4">
        <v>8</v>
      </c>
      <c r="B54" s="4">
        <v>4.01</v>
      </c>
      <c r="C54" s="4">
        <v>20</v>
      </c>
      <c r="D54" s="4">
        <v>15.99</v>
      </c>
      <c r="E54" s="4">
        <v>1.85</v>
      </c>
      <c r="F54" s="4">
        <v>0.36599999999999999</v>
      </c>
      <c r="H54" s="4">
        <v>8</v>
      </c>
      <c r="I54" s="4">
        <v>43.54</v>
      </c>
      <c r="J54" s="4">
        <v>21</v>
      </c>
      <c r="K54" s="4">
        <v>22.54</v>
      </c>
      <c r="L54" s="4">
        <v>2.44</v>
      </c>
      <c r="M54" s="4">
        <v>0.86299999999999999</v>
      </c>
    </row>
    <row r="55" spans="1:13" x14ac:dyDescent="0.3">
      <c r="A55" s="4">
        <v>9</v>
      </c>
      <c r="B55" s="4">
        <v>4.92</v>
      </c>
      <c r="C55" s="4">
        <v>20</v>
      </c>
      <c r="D55" s="4">
        <v>15.08</v>
      </c>
      <c r="E55" s="4">
        <v>1.06</v>
      </c>
      <c r="F55" s="4">
        <v>0.13</v>
      </c>
      <c r="H55" s="4">
        <v>9</v>
      </c>
      <c r="I55" s="4">
        <v>49.8</v>
      </c>
      <c r="J55" s="4">
        <v>21</v>
      </c>
      <c r="K55" s="4">
        <v>28.8</v>
      </c>
      <c r="L55" s="4">
        <v>1.21</v>
      </c>
      <c r="M55" s="4">
        <v>0.34699999999999998</v>
      </c>
    </row>
    <row r="56" spans="1:13" x14ac:dyDescent="0.3">
      <c r="A56" s="4">
        <v>10</v>
      </c>
      <c r="B56" s="5">
        <v>6.59</v>
      </c>
      <c r="C56" s="4">
        <v>20</v>
      </c>
      <c r="D56" s="5">
        <v>13.41</v>
      </c>
      <c r="E56" s="4">
        <v>1.03</v>
      </c>
      <c r="F56" s="4">
        <v>7.3999999999999996E-2</v>
      </c>
      <c r="H56" s="4">
        <v>10</v>
      </c>
      <c r="I56" s="5">
        <v>60.5</v>
      </c>
      <c r="J56" s="4">
        <v>21</v>
      </c>
      <c r="K56" s="5">
        <v>39.5</v>
      </c>
      <c r="L56" s="4">
        <v>1.19</v>
      </c>
      <c r="M56" s="4">
        <v>0.34200000000000003</v>
      </c>
    </row>
    <row r="57" spans="1:13" x14ac:dyDescent="0.3">
      <c r="D57" s="6">
        <f>AVERAGE(D47:D56)</f>
        <v>15.052000000000001</v>
      </c>
      <c r="E57" s="6">
        <f>AVERAGE(E47:E56)</f>
        <v>1.2369999999999999</v>
      </c>
      <c r="F57" s="6">
        <f>AVERAGE(F47:F56)</f>
        <v>0.186</v>
      </c>
      <c r="K57" s="6">
        <f>AVERAGE(K47:K56)</f>
        <v>36.436</v>
      </c>
      <c r="L57" s="6">
        <f>AVERAGE(L47:L56)</f>
        <v>1.8730000000000004</v>
      </c>
      <c r="M57" s="6">
        <f>AVERAGE(M47:M56)</f>
        <v>0.6371</v>
      </c>
    </row>
    <row r="59" spans="1:13" x14ac:dyDescent="0.3">
      <c r="A59" s="8" t="s">
        <v>14</v>
      </c>
      <c r="B59" s="8"/>
      <c r="C59" s="8"/>
      <c r="D59" s="8"/>
      <c r="E59" s="8"/>
      <c r="H59" s="9" t="s">
        <v>15</v>
      </c>
      <c r="I59" s="9"/>
      <c r="J59" s="9"/>
      <c r="K59" s="9"/>
      <c r="L59" s="9"/>
      <c r="M59" s="9"/>
    </row>
    <row r="60" spans="1:13" x14ac:dyDescent="0.3">
      <c r="A60" s="3" t="s">
        <v>2</v>
      </c>
      <c r="B60" s="3" t="s">
        <v>3</v>
      </c>
      <c r="C60" s="3" t="s">
        <v>4</v>
      </c>
      <c r="D60" s="3" t="s">
        <v>5</v>
      </c>
      <c r="E60" s="3" t="s">
        <v>6</v>
      </c>
      <c r="F60" s="3" t="s">
        <v>7</v>
      </c>
      <c r="H60" s="3" t="s">
        <v>2</v>
      </c>
      <c r="I60" s="3" t="s">
        <v>3</v>
      </c>
      <c r="J60" s="3" t="s">
        <v>4</v>
      </c>
      <c r="K60" s="3" t="s">
        <v>5</v>
      </c>
      <c r="L60" s="3" t="s">
        <v>6</v>
      </c>
      <c r="M60" s="3" t="s">
        <v>7</v>
      </c>
    </row>
    <row r="61" spans="1:13" x14ac:dyDescent="0.3">
      <c r="A61" s="4">
        <v>1</v>
      </c>
      <c r="B61" s="4">
        <v>4.82</v>
      </c>
      <c r="C61" s="4">
        <v>20</v>
      </c>
      <c r="D61" s="4">
        <v>15.18</v>
      </c>
      <c r="E61" s="4">
        <v>1.04</v>
      </c>
      <c r="F61" s="4">
        <v>9.7000000000000003E-2</v>
      </c>
      <c r="H61" s="4">
        <v>1</v>
      </c>
      <c r="I61" s="4">
        <v>83.05</v>
      </c>
      <c r="J61" s="4">
        <v>21</v>
      </c>
      <c r="K61" s="4">
        <v>62.05</v>
      </c>
      <c r="L61" s="4">
        <v>1.27</v>
      </c>
      <c r="M61" s="4">
        <v>0.371</v>
      </c>
    </row>
    <row r="62" spans="1:13" x14ac:dyDescent="0.3">
      <c r="A62" s="4">
        <v>2</v>
      </c>
      <c r="B62" s="4">
        <v>7.68</v>
      </c>
      <c r="C62" s="4">
        <v>22</v>
      </c>
      <c r="D62" s="4">
        <v>14.32</v>
      </c>
      <c r="E62" s="4">
        <v>1.02</v>
      </c>
      <c r="F62" s="4">
        <v>4.1000000000000002E-2</v>
      </c>
      <c r="H62" s="4">
        <v>2</v>
      </c>
      <c r="I62" s="4">
        <v>48.02</v>
      </c>
      <c r="J62" s="4">
        <v>19</v>
      </c>
      <c r="K62" s="4">
        <v>29.02</v>
      </c>
      <c r="L62" s="4">
        <v>1.1299999999999999</v>
      </c>
      <c r="M62" s="4">
        <v>0.254</v>
      </c>
    </row>
    <row r="63" spans="1:13" x14ac:dyDescent="0.3">
      <c r="A63" s="4">
        <v>3</v>
      </c>
      <c r="B63" s="4">
        <v>4.57</v>
      </c>
      <c r="C63" s="4">
        <v>21</v>
      </c>
      <c r="D63" s="4">
        <v>16.43</v>
      </c>
      <c r="E63" s="4">
        <v>1.0900000000000001</v>
      </c>
      <c r="F63" s="4">
        <v>0.182</v>
      </c>
      <c r="H63" s="4">
        <v>3</v>
      </c>
      <c r="I63" s="4">
        <v>70.209999999999994</v>
      </c>
      <c r="J63" s="4">
        <v>21</v>
      </c>
      <c r="K63" s="4">
        <v>49.21</v>
      </c>
      <c r="L63" s="4">
        <v>2.02</v>
      </c>
      <c r="M63" s="4">
        <v>0.71099999999999997</v>
      </c>
    </row>
    <row r="64" spans="1:13" x14ac:dyDescent="0.3">
      <c r="A64" s="4">
        <v>4</v>
      </c>
      <c r="B64" s="4">
        <v>5.72</v>
      </c>
      <c r="C64" s="4">
        <v>21</v>
      </c>
      <c r="D64" s="4">
        <v>15.28</v>
      </c>
      <c r="E64" s="4">
        <v>1.1299999999999999</v>
      </c>
      <c r="F64" s="4">
        <v>0.23799999999999999</v>
      </c>
      <c r="H64" s="4">
        <v>4</v>
      </c>
      <c r="I64" s="4">
        <v>66.3</v>
      </c>
      <c r="J64" s="4">
        <v>20</v>
      </c>
      <c r="K64" s="4">
        <v>46.3</v>
      </c>
      <c r="L64" s="4">
        <v>3.15</v>
      </c>
      <c r="M64" s="4">
        <v>1.0660000000000001</v>
      </c>
    </row>
    <row r="65" spans="1:13" x14ac:dyDescent="0.3">
      <c r="A65" s="4">
        <v>5</v>
      </c>
      <c r="B65" s="4">
        <v>5.72</v>
      </c>
      <c r="C65" s="4">
        <v>20</v>
      </c>
      <c r="D65" s="4">
        <v>14.28</v>
      </c>
      <c r="E65" s="4">
        <v>1.06</v>
      </c>
      <c r="F65" s="4">
        <v>0.13500000000000001</v>
      </c>
      <c r="H65" s="4">
        <v>5</v>
      </c>
      <c r="I65" s="4">
        <v>49.83</v>
      </c>
      <c r="J65" s="4">
        <v>20</v>
      </c>
      <c r="K65" s="4">
        <v>29.83</v>
      </c>
      <c r="L65" s="4">
        <v>1.5</v>
      </c>
      <c r="M65" s="4">
        <v>0.57499999999999996</v>
      </c>
    </row>
    <row r="66" spans="1:13" x14ac:dyDescent="0.3">
      <c r="A66" s="4">
        <v>6</v>
      </c>
      <c r="B66" s="4">
        <v>6.47</v>
      </c>
      <c r="C66" s="4">
        <v>21</v>
      </c>
      <c r="D66" s="4">
        <v>14.53</v>
      </c>
      <c r="E66" s="4">
        <v>1.04</v>
      </c>
      <c r="F66" s="4">
        <v>0.09</v>
      </c>
      <c r="H66" s="4">
        <v>6</v>
      </c>
      <c r="I66" s="4">
        <v>50.11</v>
      </c>
      <c r="J66" s="4">
        <v>20</v>
      </c>
      <c r="K66" s="4">
        <v>30.11</v>
      </c>
      <c r="L66" s="4">
        <v>1.53</v>
      </c>
      <c r="M66" s="4">
        <v>0.61899999999999999</v>
      </c>
    </row>
    <row r="67" spans="1:13" x14ac:dyDescent="0.3">
      <c r="A67" s="4">
        <v>7</v>
      </c>
      <c r="B67" s="4">
        <v>7.28</v>
      </c>
      <c r="C67" s="4">
        <v>19</v>
      </c>
      <c r="D67" s="4">
        <v>11.72</v>
      </c>
      <c r="E67" s="4">
        <v>1.05</v>
      </c>
      <c r="F67" s="4">
        <v>0.127</v>
      </c>
      <c r="H67" s="4">
        <v>7</v>
      </c>
      <c r="I67" s="4">
        <v>70.98</v>
      </c>
      <c r="J67" s="4">
        <v>20</v>
      </c>
      <c r="K67" s="4">
        <v>50.98</v>
      </c>
      <c r="L67" s="4">
        <v>2.97</v>
      </c>
      <c r="M67" s="4">
        <v>0.91</v>
      </c>
    </row>
    <row r="68" spans="1:13" x14ac:dyDescent="0.3">
      <c r="A68" s="4">
        <v>8</v>
      </c>
      <c r="B68" s="4">
        <v>6.14</v>
      </c>
      <c r="C68" s="4">
        <v>20</v>
      </c>
      <c r="D68" s="4">
        <v>13.86</v>
      </c>
      <c r="E68" s="4">
        <v>2.0499999999999998</v>
      </c>
      <c r="F68" s="4">
        <v>0.39700000000000002</v>
      </c>
      <c r="H68" s="4">
        <v>8</v>
      </c>
      <c r="I68" s="5">
        <v>44.53</v>
      </c>
      <c r="J68" s="4">
        <v>21</v>
      </c>
      <c r="K68" s="5">
        <v>23.53</v>
      </c>
      <c r="L68" s="4">
        <v>1.93</v>
      </c>
      <c r="M68" s="4">
        <v>0.68700000000000006</v>
      </c>
    </row>
    <row r="69" spans="1:13" x14ac:dyDescent="0.3">
      <c r="A69" s="4">
        <v>9</v>
      </c>
      <c r="B69" s="4">
        <v>6.68</v>
      </c>
      <c r="C69" s="4">
        <v>20</v>
      </c>
      <c r="D69" s="4">
        <v>13.32</v>
      </c>
      <c r="E69" s="4">
        <v>1.1200000000000001</v>
      </c>
      <c r="F69" s="4">
        <v>0.23200000000000001</v>
      </c>
      <c r="H69" s="4">
        <v>9</v>
      </c>
      <c r="I69" s="4">
        <v>58.75</v>
      </c>
      <c r="J69" s="4">
        <v>21</v>
      </c>
      <c r="K69" s="4">
        <v>37.75</v>
      </c>
      <c r="L69" s="4">
        <v>1.1200000000000001</v>
      </c>
      <c r="M69" s="4">
        <v>0.23</v>
      </c>
    </row>
    <row r="70" spans="1:13" x14ac:dyDescent="0.3">
      <c r="A70" s="4">
        <v>10</v>
      </c>
      <c r="B70" s="5">
        <v>8.48</v>
      </c>
      <c r="C70" s="4">
        <v>20</v>
      </c>
      <c r="D70" s="5">
        <v>11.52</v>
      </c>
      <c r="E70" s="4">
        <v>1.02</v>
      </c>
      <c r="F70" s="4">
        <v>5.0999999999999997E-2</v>
      </c>
      <c r="H70" s="4">
        <v>10</v>
      </c>
      <c r="I70" s="5">
        <v>38.07</v>
      </c>
      <c r="J70" s="4">
        <v>20</v>
      </c>
      <c r="K70" s="5">
        <v>18.07</v>
      </c>
      <c r="L70" s="4">
        <v>1.22</v>
      </c>
      <c r="M70" s="4">
        <v>0.36199999999999999</v>
      </c>
    </row>
    <row r="71" spans="1:13" x14ac:dyDescent="0.3">
      <c r="D71" s="6">
        <f>AVERAGE(D61:D70)</f>
        <v>14.044</v>
      </c>
      <c r="E71" s="6">
        <f>AVERAGE(E61:E70)</f>
        <v>1.1620000000000001</v>
      </c>
      <c r="F71" s="6">
        <f>AVERAGE(F61:F70)</f>
        <v>0.15899999999999997</v>
      </c>
      <c r="K71" s="6">
        <f>AVERAGE(K61:K70)</f>
        <v>37.684999999999995</v>
      </c>
      <c r="L71" s="6">
        <f>AVERAGE(L61:L70)</f>
        <v>1.784</v>
      </c>
      <c r="M71" s="6">
        <f>AVERAGE(M61:M70)</f>
        <v>0.57850000000000013</v>
      </c>
    </row>
    <row r="73" spans="1:13" x14ac:dyDescent="0.3">
      <c r="A73" s="8" t="s">
        <v>16</v>
      </c>
      <c r="B73" s="8"/>
      <c r="C73" s="8"/>
      <c r="D73" s="8"/>
      <c r="E73" s="8"/>
      <c r="H73" s="8" t="s">
        <v>17</v>
      </c>
      <c r="I73" s="8"/>
      <c r="J73" s="8"/>
      <c r="K73" s="8"/>
      <c r="L73" s="8"/>
    </row>
    <row r="74" spans="1:13" x14ac:dyDescent="0.3">
      <c r="A74" s="3" t="s">
        <v>2</v>
      </c>
      <c r="B74" s="3" t="s">
        <v>3</v>
      </c>
      <c r="C74" s="3" t="s">
        <v>4</v>
      </c>
      <c r="D74" s="3" t="s">
        <v>5</v>
      </c>
      <c r="E74" s="3" t="s">
        <v>6</v>
      </c>
      <c r="F74" s="3" t="s">
        <v>7</v>
      </c>
      <c r="H74" s="3" t="s">
        <v>2</v>
      </c>
      <c r="I74" s="3" t="s">
        <v>3</v>
      </c>
      <c r="J74" s="3" t="s">
        <v>4</v>
      </c>
      <c r="K74" s="3" t="s">
        <v>5</v>
      </c>
      <c r="L74" s="3" t="s">
        <v>6</v>
      </c>
      <c r="M74" s="3" t="s">
        <v>7</v>
      </c>
    </row>
    <row r="75" spans="1:13" x14ac:dyDescent="0.3">
      <c r="A75" s="4">
        <v>1</v>
      </c>
      <c r="B75" s="4">
        <v>7.13</v>
      </c>
      <c r="C75" s="4">
        <v>20</v>
      </c>
      <c r="D75" s="4">
        <v>12.87</v>
      </c>
      <c r="E75" s="4">
        <v>1.01</v>
      </c>
      <c r="F75" s="4">
        <v>2.3E-2</v>
      </c>
      <c r="H75" s="4">
        <v>1</v>
      </c>
      <c r="I75" s="4">
        <v>60.44</v>
      </c>
      <c r="J75" s="4">
        <v>20</v>
      </c>
      <c r="K75" s="4">
        <v>40.44</v>
      </c>
      <c r="L75" s="4">
        <v>1.34</v>
      </c>
      <c r="M75" s="4">
        <v>0.41099999999999998</v>
      </c>
    </row>
    <row r="76" spans="1:13" x14ac:dyDescent="0.3">
      <c r="A76" s="4">
        <v>2</v>
      </c>
      <c r="B76" s="4">
        <v>7.77</v>
      </c>
      <c r="C76" s="4">
        <v>22</v>
      </c>
      <c r="D76" s="4">
        <v>14.23</v>
      </c>
      <c r="E76" s="4">
        <v>1.01</v>
      </c>
      <c r="F76" s="4">
        <v>1.4E-2</v>
      </c>
      <c r="H76" s="4">
        <v>2</v>
      </c>
      <c r="I76" s="4">
        <v>89.83</v>
      </c>
      <c r="J76" s="4">
        <v>20</v>
      </c>
      <c r="K76" s="4">
        <v>69.83</v>
      </c>
      <c r="L76" s="4">
        <v>1.1299999999999999</v>
      </c>
      <c r="M76" s="4">
        <v>0.247</v>
      </c>
    </row>
    <row r="77" spans="1:13" x14ac:dyDescent="0.3">
      <c r="A77" s="4">
        <v>3</v>
      </c>
      <c r="B77" s="4">
        <v>8.58</v>
      </c>
      <c r="C77" s="4">
        <v>21</v>
      </c>
      <c r="D77" s="4">
        <v>12.42</v>
      </c>
      <c r="E77" s="4">
        <v>1.99</v>
      </c>
      <c r="F77" s="4">
        <v>0.251</v>
      </c>
      <c r="H77" s="4">
        <v>3</v>
      </c>
      <c r="I77" s="4">
        <v>62.45</v>
      </c>
      <c r="J77" s="4">
        <v>20</v>
      </c>
      <c r="K77" s="4">
        <v>42.45</v>
      </c>
      <c r="L77" s="4">
        <v>2.4300000000000002</v>
      </c>
      <c r="M77" s="4">
        <v>0.62</v>
      </c>
    </row>
    <row r="78" spans="1:13" x14ac:dyDescent="0.3">
      <c r="A78" s="4">
        <v>4</v>
      </c>
      <c r="B78" s="4">
        <v>7.53</v>
      </c>
      <c r="C78" s="4">
        <v>21</v>
      </c>
      <c r="D78" s="4">
        <v>13.47</v>
      </c>
      <c r="E78" s="4">
        <v>1.08</v>
      </c>
      <c r="F78" s="4">
        <v>0.127</v>
      </c>
      <c r="H78" s="4">
        <v>4</v>
      </c>
      <c r="I78" s="4">
        <v>49.93</v>
      </c>
      <c r="J78" s="4">
        <v>20</v>
      </c>
      <c r="K78" s="4">
        <v>49.93</v>
      </c>
      <c r="L78" s="4">
        <v>3.32</v>
      </c>
      <c r="M78" s="4">
        <v>1.0780000000000001</v>
      </c>
    </row>
    <row r="79" spans="1:13" x14ac:dyDescent="0.3">
      <c r="A79" s="4">
        <v>5</v>
      </c>
      <c r="B79" s="4">
        <v>8</v>
      </c>
      <c r="C79" s="4">
        <v>20</v>
      </c>
      <c r="D79" s="4">
        <v>12</v>
      </c>
      <c r="E79" s="4">
        <v>1.02</v>
      </c>
      <c r="F79" s="4">
        <v>6.7000000000000004E-2</v>
      </c>
      <c r="H79" s="4">
        <v>5</v>
      </c>
      <c r="I79" s="4">
        <v>49.87</v>
      </c>
      <c r="J79" s="4">
        <v>20</v>
      </c>
      <c r="K79" s="4">
        <v>29.87</v>
      </c>
      <c r="L79" s="4">
        <v>1.48</v>
      </c>
      <c r="M79" s="4">
        <v>0.55500000000000005</v>
      </c>
    </row>
    <row r="80" spans="1:13" x14ac:dyDescent="0.3">
      <c r="A80" s="4">
        <v>6</v>
      </c>
      <c r="B80" s="4">
        <v>6.23</v>
      </c>
      <c r="C80" s="4">
        <v>21</v>
      </c>
      <c r="D80" s="4">
        <v>14.77</v>
      </c>
      <c r="E80" s="4">
        <v>1.05</v>
      </c>
      <c r="F80" s="4">
        <v>0.10100000000000001</v>
      </c>
      <c r="H80" s="4">
        <v>6</v>
      </c>
      <c r="I80" s="4">
        <v>43.87</v>
      </c>
      <c r="J80" s="4">
        <v>20</v>
      </c>
      <c r="K80" s="4">
        <v>23.87</v>
      </c>
      <c r="L80" s="4">
        <v>1.52</v>
      </c>
      <c r="M80" s="4">
        <v>0.63</v>
      </c>
    </row>
    <row r="81" spans="1:13" x14ac:dyDescent="0.3">
      <c r="A81" s="4">
        <v>7</v>
      </c>
      <c r="B81" s="4">
        <v>6.07</v>
      </c>
      <c r="C81" s="4">
        <v>19</v>
      </c>
      <c r="D81" s="4">
        <v>12.93</v>
      </c>
      <c r="E81" s="4">
        <v>1.08</v>
      </c>
      <c r="F81" s="4">
        <v>0.14699999999999999</v>
      </c>
      <c r="H81" s="4">
        <v>7</v>
      </c>
      <c r="I81" s="4">
        <v>56.95</v>
      </c>
      <c r="J81" s="4">
        <v>20</v>
      </c>
      <c r="K81" s="4">
        <v>36.950000000000003</v>
      </c>
      <c r="L81" s="4">
        <v>3.11</v>
      </c>
      <c r="M81" s="4">
        <v>0.82199999999999995</v>
      </c>
    </row>
    <row r="82" spans="1:13" x14ac:dyDescent="0.3">
      <c r="A82" s="4">
        <v>8</v>
      </c>
      <c r="B82" s="4">
        <v>6.01</v>
      </c>
      <c r="C82" s="4">
        <v>20</v>
      </c>
      <c r="D82" s="4">
        <v>13.99</v>
      </c>
      <c r="E82" s="4">
        <v>1.02</v>
      </c>
      <c r="F82" s="4">
        <v>0.04</v>
      </c>
      <c r="H82" s="4">
        <v>8</v>
      </c>
      <c r="I82" s="4">
        <v>70.14</v>
      </c>
      <c r="J82" s="4">
        <v>19</v>
      </c>
      <c r="K82" s="4">
        <v>51.14</v>
      </c>
      <c r="L82" s="4">
        <v>2.39</v>
      </c>
      <c r="M82" s="4">
        <v>0.76100000000000001</v>
      </c>
    </row>
    <row r="83" spans="1:13" x14ac:dyDescent="0.3">
      <c r="A83" s="4">
        <v>9</v>
      </c>
      <c r="B83" s="4">
        <v>6.7</v>
      </c>
      <c r="C83" s="4">
        <v>20</v>
      </c>
      <c r="D83" s="4">
        <v>13.3</v>
      </c>
      <c r="E83" s="4">
        <v>1.03</v>
      </c>
      <c r="F83" s="4">
        <v>7.9000000000000001E-2</v>
      </c>
      <c r="H83" s="4">
        <v>9</v>
      </c>
      <c r="I83" s="4">
        <v>60.49</v>
      </c>
      <c r="J83" s="4">
        <v>19</v>
      </c>
      <c r="K83" s="4">
        <v>41.49</v>
      </c>
      <c r="L83" s="4">
        <v>1.1599999999999999</v>
      </c>
      <c r="M83" s="4">
        <v>0.28599999999999998</v>
      </c>
    </row>
    <row r="84" spans="1:13" x14ac:dyDescent="0.3">
      <c r="A84" s="4">
        <v>10</v>
      </c>
      <c r="B84" s="5">
        <v>7.6</v>
      </c>
      <c r="C84" s="4">
        <v>20</v>
      </c>
      <c r="D84" s="5">
        <v>12.4</v>
      </c>
      <c r="E84" s="4">
        <v>1.06</v>
      </c>
      <c r="F84" s="4">
        <v>0.13700000000000001</v>
      </c>
      <c r="H84" s="4">
        <v>10</v>
      </c>
      <c r="I84" s="5">
        <v>42.46</v>
      </c>
      <c r="J84" s="4">
        <v>20</v>
      </c>
      <c r="K84" s="5">
        <v>22.46</v>
      </c>
      <c r="L84" s="4">
        <v>1.21</v>
      </c>
      <c r="M84" s="4">
        <v>0.33</v>
      </c>
    </row>
    <row r="85" spans="1:13" x14ac:dyDescent="0.3">
      <c r="D85" s="6">
        <f>AVERAGE(D75:D84)</f>
        <v>13.238</v>
      </c>
      <c r="E85" s="6">
        <f>AVERAGE(E75:E84)</f>
        <v>1.1349999999999998</v>
      </c>
      <c r="F85" s="6">
        <f>AVERAGE(F75:F84)</f>
        <v>9.8599999999999993E-2</v>
      </c>
      <c r="K85" s="6">
        <f>AVERAGE(K75:K84)</f>
        <v>40.842999999999996</v>
      </c>
      <c r="L85" s="6">
        <f>AVERAGE(L75:L84)</f>
        <v>1.909</v>
      </c>
      <c r="M85" s="6">
        <f>AVERAGE(M75:M84)</f>
        <v>0.57399999999999995</v>
      </c>
    </row>
  </sheetData>
  <mergeCells count="12">
    <mergeCell ref="A3:E3"/>
    <mergeCell ref="H3:M3"/>
    <mergeCell ref="A17:E17"/>
    <mergeCell ref="H17:L17"/>
    <mergeCell ref="A31:E31"/>
    <mergeCell ref="H31:L31"/>
    <mergeCell ref="A45:E45"/>
    <mergeCell ref="H45:L45"/>
    <mergeCell ref="A59:E59"/>
    <mergeCell ref="H59:M59"/>
    <mergeCell ref="A73:E73"/>
    <mergeCell ref="H73:L73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준영 박</dc:creator>
  <cp:lastModifiedBy>준영 박</cp:lastModifiedBy>
  <dcterms:created xsi:type="dcterms:W3CDTF">2025-12-29T06:42:27Z</dcterms:created>
  <dcterms:modified xsi:type="dcterms:W3CDTF">2025-12-29T10:37:52Z</dcterms:modified>
</cp:coreProperties>
</file>